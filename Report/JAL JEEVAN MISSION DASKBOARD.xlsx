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drawings/drawing6.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HP\Desktop\MY Project\JJM DATA\"/>
    </mc:Choice>
  </mc:AlternateContent>
  <xr:revisionPtr revIDLastSave="0" documentId="13_ncr:1_{315A59C3-E752-484B-BE9B-C4B6334A4E61}" xr6:coauthVersionLast="47" xr6:coauthVersionMax="47" xr10:uidLastSave="{00000000-0000-0000-0000-000000000000}"/>
  <bookViews>
    <workbookView xWindow="-110" yWindow="-110" windowWidth="19420" windowHeight="10420" firstSheet="2" activeTab="6" xr2:uid="{00000000-000D-0000-FFFF-FFFF00000000}"/>
  </bookViews>
  <sheets>
    <sheet name="DATA" sheetId="1" r:id="rId1"/>
    <sheet name="Source Distribution" sheetId="4" r:id="rId2"/>
    <sheet name="District-wise Comparison" sheetId="2" r:id="rId3"/>
    <sheet name="Trend Over Time" sheetId="3" r:id="rId4"/>
    <sheet name="Performance Analysis" sheetId="6" r:id="rId5"/>
    <sheet name="KPI CARD" sheetId="8" r:id="rId6"/>
    <sheet name="DaskBoard" sheetId="9" r:id="rId7"/>
  </sheets>
  <definedNames>
    <definedName name="_xlnm._FilterDatabase" localSheetId="0" hidden="1">DATA!$A$1:$J$196</definedName>
    <definedName name="Slicer_District">#N/A</definedName>
  </definedNames>
  <calcPr calcId="181029"/>
  <pivotCaches>
    <pivotCache cacheId="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3" i="1" l="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2" i="1"/>
  <c r="B7" i="8"/>
  <c r="D7" i="8"/>
  <c r="C7" i="8"/>
  <c r="A7" i="8"/>
</calcChain>
</file>

<file path=xl/sharedStrings.xml><?xml version="1.0" encoding="utf-8"?>
<sst xmlns="http://schemas.openxmlformats.org/spreadsheetml/2006/main" count="661" uniqueCount="55">
  <si>
    <t>Year</t>
  </si>
  <si>
    <t>Month</t>
  </si>
  <si>
    <t>District</t>
  </si>
  <si>
    <t>MVS</t>
  </si>
  <si>
    <t>SVS</t>
  </si>
  <si>
    <t>Total_Schemes</t>
  </si>
  <si>
    <t>FHTC_Provided</t>
  </si>
  <si>
    <t>FHTC_Total</t>
  </si>
  <si>
    <t>Percentage_Coverage</t>
  </si>
  <si>
    <t>Source_Type</t>
  </si>
  <si>
    <t>Jan</t>
  </si>
  <si>
    <t>Bhopal</t>
  </si>
  <si>
    <t>Surface</t>
  </si>
  <si>
    <t>Feb</t>
  </si>
  <si>
    <t>Indore</t>
  </si>
  <si>
    <t>Groundwater</t>
  </si>
  <si>
    <t>Mar</t>
  </si>
  <si>
    <t>Jabalpur</t>
  </si>
  <si>
    <t>Apr</t>
  </si>
  <si>
    <t>Gwalior</t>
  </si>
  <si>
    <t>May</t>
  </si>
  <si>
    <t>Ujjain</t>
  </si>
  <si>
    <t>Jun</t>
  </si>
  <si>
    <t>Sagar</t>
  </si>
  <si>
    <t>Jul</t>
  </si>
  <si>
    <t>Rewa</t>
  </si>
  <si>
    <t>Aug</t>
  </si>
  <si>
    <t>Satna</t>
  </si>
  <si>
    <t>Sep</t>
  </si>
  <si>
    <t>Chhindwara</t>
  </si>
  <si>
    <t>Oct</t>
  </si>
  <si>
    <t>Ratlam</t>
  </si>
  <si>
    <t>Nov</t>
  </si>
  <si>
    <t>Khandwa</t>
  </si>
  <si>
    <t>Dec</t>
  </si>
  <si>
    <t>Betul</t>
  </si>
  <si>
    <t>Damoh</t>
  </si>
  <si>
    <t>Sehore</t>
  </si>
  <si>
    <t>Shivpuri</t>
  </si>
  <si>
    <t>Vidisha</t>
  </si>
  <si>
    <t>Dewas</t>
  </si>
  <si>
    <t>Hoshangabad</t>
  </si>
  <si>
    <t>Mandsaur</t>
  </si>
  <si>
    <t>Neemuch</t>
  </si>
  <si>
    <t>Barwani</t>
  </si>
  <si>
    <t>Khargone</t>
  </si>
  <si>
    <t>Burhanpur</t>
  </si>
  <si>
    <t>Alirajpur</t>
  </si>
  <si>
    <t>Row Labels</t>
  </si>
  <si>
    <t>Grand Total</t>
  </si>
  <si>
    <t>Sum of FHTC_Provided</t>
  </si>
  <si>
    <t>Count of FHTC_Provided</t>
  </si>
  <si>
    <t>Average of Percentage_Coverage</t>
  </si>
  <si>
    <t>Sum of FHTC_Total</t>
  </si>
  <si>
    <t>Count of District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</si>
</sst>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scheme val="minor"/>
    </font>
    <font>
      <sz val="11"/>
      <color theme="4" tint="-0.499984740745262"/>
      <name val="Calibri"/>
      <family val="2"/>
      <scheme val="minor"/>
    </font>
  </fonts>
  <fills count="3">
    <fill>
      <patternFill patternType="none"/>
    </fill>
    <fill>
      <patternFill patternType="gray125"/>
    </fill>
    <fill>
      <patternFill patternType="solid">
        <fgColor theme="4" tint="-0.249977111117893"/>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6">
    <xf numFmtId="0" fontId="0" fillId="0" borderId="0" xfId="0"/>
    <xf numFmtId="9" fontId="0" fillId="0" borderId="0" xfId="1" applyFont="1"/>
    <xf numFmtId="0" fontId="0" fillId="0" borderId="0" xfId="0" pivotButton="1"/>
    <xf numFmtId="0" fontId="0" fillId="0" borderId="0" xfId="0" applyAlignment="1">
      <alignment horizontal="left"/>
    </xf>
    <xf numFmtId="9" fontId="0" fillId="0" borderId="0" xfId="0" applyNumberFormat="1"/>
    <xf numFmtId="0" fontId="2" fillId="2" borderId="0" xfId="0" applyFont="1" applyFill="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[JAL JEEVAN MISSION DASKBOARD.xlsx]Source Distribution!PivotTable3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'Source Distribution'!$B$3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7CA-46FC-BDD6-CB4DC44A4A1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C91-464D-B2D3-5C42A6FD94CD}"/>
              </c:ext>
            </c:extLst>
          </c:dPt>
          <c:cat>
            <c:strRef>
              <c:f>'Source Distribution'!$A$4:$A$6</c:f>
              <c:strCache>
                <c:ptCount val="2"/>
                <c:pt idx="0">
                  <c:v>Groundwater</c:v>
                </c:pt>
                <c:pt idx="1">
                  <c:v>Surface</c:v>
                </c:pt>
              </c:strCache>
            </c:strRef>
          </c:cat>
          <c:val>
            <c:numRef>
              <c:f>'Source Distribution'!$B$4:$B$6</c:f>
              <c:numCache>
                <c:formatCode>General</c:formatCode>
                <c:ptCount val="2"/>
                <c:pt idx="0">
                  <c:v>97</c:v>
                </c:pt>
                <c:pt idx="1">
                  <c:v>98</c:v>
                </c:pt>
              </c:numCache>
            </c:numRef>
          </c:val>
          <c:extLst>
            <c:ext xmlns:c16="http://schemas.microsoft.com/office/drawing/2014/chart" uri="{C3380CC4-5D6E-409C-BE32-E72D297353CC}">
              <c16:uniqueId val="{00000000-C2E4-4AC2-A507-E9E758D9C4C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[JAL JEEVAN MISSION DASKBOARD.xlsx]District-wise Comparison!PivotTable1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District-wise Comparison</a:t>
            </a:r>
            <a:endParaRPr lang="en-IN"/>
          </a:p>
        </c:rich>
      </c:tx>
      <c:layout>
        <c:manualLayout>
          <c:xMode val="edge"/>
          <c:yMode val="edge"/>
          <c:x val="0.35650699912510941"/>
          <c:y val="6.84237386993292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'District-wise Comparison'!$B$3</c:f>
              <c:strCache>
                <c:ptCount val="1"/>
                <c:pt idx="0">
                  <c:v>Total</c:v>
                </c:pt>
              </c:strCache>
            </c:strRef>
          </c:tx>
          <c:spPr>
            <a:solidFill>
              <a:schemeClr val="accent1"/>
            </a:solidFill>
            <a:ln>
              <a:noFill/>
            </a:ln>
            <a:effectLst/>
          </c:spPr>
          <c:invertIfNegative val="0"/>
          <c:cat>
            <c:strRef>
              <c:f>'District-wise Comparison'!$A$4:$A$28</c:f>
              <c:strCache>
                <c:ptCount val="24"/>
                <c:pt idx="0">
                  <c:v>Alirajpur</c:v>
                </c:pt>
                <c:pt idx="1">
                  <c:v>Barwani</c:v>
                </c:pt>
                <c:pt idx="2">
                  <c:v>Betul</c:v>
                </c:pt>
                <c:pt idx="3">
                  <c:v>Bhopal</c:v>
                </c:pt>
                <c:pt idx="4">
                  <c:v>Burhanpur</c:v>
                </c:pt>
                <c:pt idx="5">
                  <c:v>Chhindwara</c:v>
                </c:pt>
                <c:pt idx="6">
                  <c:v>Damoh</c:v>
                </c:pt>
                <c:pt idx="7">
                  <c:v>Dewas</c:v>
                </c:pt>
                <c:pt idx="8">
                  <c:v>Gwalior</c:v>
                </c:pt>
                <c:pt idx="9">
                  <c:v>Hoshangabad</c:v>
                </c:pt>
                <c:pt idx="10">
                  <c:v>Indore</c:v>
                </c:pt>
                <c:pt idx="11">
                  <c:v>Jabalpur</c:v>
                </c:pt>
                <c:pt idx="12">
                  <c:v>Khandwa</c:v>
                </c:pt>
                <c:pt idx="13">
                  <c:v>Khargone</c:v>
                </c:pt>
                <c:pt idx="14">
                  <c:v>Mandsaur</c:v>
                </c:pt>
                <c:pt idx="15">
                  <c:v>Neemuch</c:v>
                </c:pt>
                <c:pt idx="16">
                  <c:v>Ratlam</c:v>
                </c:pt>
                <c:pt idx="17">
                  <c:v>Rewa</c:v>
                </c:pt>
                <c:pt idx="18">
                  <c:v>Sagar</c:v>
                </c:pt>
                <c:pt idx="19">
                  <c:v>Satna</c:v>
                </c:pt>
                <c:pt idx="20">
                  <c:v>Sehore</c:v>
                </c:pt>
                <c:pt idx="21">
                  <c:v>Shivpuri</c:v>
                </c:pt>
                <c:pt idx="22">
                  <c:v>Ujjain</c:v>
                </c:pt>
                <c:pt idx="23">
                  <c:v>Vidisha</c:v>
                </c:pt>
              </c:strCache>
            </c:strRef>
          </c:cat>
          <c:val>
            <c:numRef>
              <c:f>'District-wise Comparison'!$B$4:$B$28</c:f>
              <c:numCache>
                <c:formatCode>General</c:formatCode>
                <c:ptCount val="24"/>
                <c:pt idx="0">
                  <c:v>14500</c:v>
                </c:pt>
                <c:pt idx="1">
                  <c:v>16500</c:v>
                </c:pt>
                <c:pt idx="2">
                  <c:v>537000</c:v>
                </c:pt>
                <c:pt idx="3">
                  <c:v>679000</c:v>
                </c:pt>
                <c:pt idx="4">
                  <c:v>14000</c:v>
                </c:pt>
                <c:pt idx="5">
                  <c:v>646000</c:v>
                </c:pt>
                <c:pt idx="6">
                  <c:v>15000</c:v>
                </c:pt>
                <c:pt idx="7">
                  <c:v>16500</c:v>
                </c:pt>
                <c:pt idx="8">
                  <c:v>748500</c:v>
                </c:pt>
                <c:pt idx="9">
                  <c:v>16000</c:v>
                </c:pt>
                <c:pt idx="10">
                  <c:v>750000</c:v>
                </c:pt>
                <c:pt idx="11">
                  <c:v>908000</c:v>
                </c:pt>
                <c:pt idx="12">
                  <c:v>503500</c:v>
                </c:pt>
                <c:pt idx="13">
                  <c:v>14500</c:v>
                </c:pt>
                <c:pt idx="14">
                  <c:v>15000</c:v>
                </c:pt>
                <c:pt idx="15">
                  <c:v>15500</c:v>
                </c:pt>
                <c:pt idx="16">
                  <c:v>536000</c:v>
                </c:pt>
                <c:pt idx="17">
                  <c:v>571500</c:v>
                </c:pt>
                <c:pt idx="18">
                  <c:v>602000</c:v>
                </c:pt>
                <c:pt idx="19">
                  <c:v>592000</c:v>
                </c:pt>
                <c:pt idx="20">
                  <c:v>16000</c:v>
                </c:pt>
                <c:pt idx="21">
                  <c:v>17500</c:v>
                </c:pt>
                <c:pt idx="22">
                  <c:v>681500</c:v>
                </c:pt>
                <c:pt idx="23">
                  <c:v>17000</c:v>
                </c:pt>
              </c:numCache>
            </c:numRef>
          </c:val>
          <c:extLst>
            <c:ext xmlns:c16="http://schemas.microsoft.com/office/drawing/2014/chart" uri="{C3380CC4-5D6E-409C-BE32-E72D297353CC}">
              <c16:uniqueId val="{00000000-A6A2-4651-8C98-369462BA4B42}"/>
            </c:ext>
          </c:extLst>
        </c:ser>
        <c:dLbls>
          <c:showLegendKey val="0"/>
          <c:showVal val="0"/>
          <c:showCatName val="0"/>
          <c:showSerName val="0"/>
          <c:showPercent val="0"/>
          <c:showBubbleSize val="0"/>
        </c:dLbls>
        <c:gapWidth val="182"/>
        <c:axId val="2085570320"/>
        <c:axId val="2085561200"/>
      </c:barChart>
      <c:catAx>
        <c:axId val="2085570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561200"/>
        <c:crosses val="autoZero"/>
        <c:auto val="1"/>
        <c:lblAlgn val="ctr"/>
        <c:lblOffset val="100"/>
        <c:noMultiLvlLbl val="0"/>
      </c:catAx>
      <c:valAx>
        <c:axId val="20855612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570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[JAL JEEVAN MISSION DASKBOARD.xlsx]Trend Over Time!PivotTable2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Trend Over Time</a:t>
            </a:r>
            <a:endParaRPr lang="en-US"/>
          </a:p>
        </c:rich>
      </c:tx>
      <c:layout>
        <c:manualLayout>
          <c:xMode val="edge"/>
          <c:yMode val="edge"/>
          <c:x val="0.36091666666666666"/>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 Over Time'!$B$3</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'Trend Over Time'!$A$4:$A$11</c:f>
              <c:strCache>
                <c:ptCount val="7"/>
                <c:pt idx="0">
                  <c:v>2020</c:v>
                </c:pt>
                <c:pt idx="1">
                  <c:v>2021</c:v>
                </c:pt>
                <c:pt idx="2">
                  <c:v>2022</c:v>
                </c:pt>
                <c:pt idx="3">
                  <c:v>2023</c:v>
                </c:pt>
                <c:pt idx="4">
                  <c:v>2024</c:v>
                </c:pt>
                <c:pt idx="5">
                  <c:v>2025</c:v>
                </c:pt>
                <c:pt idx="6">
                  <c:v>2026</c:v>
                </c:pt>
              </c:strCache>
            </c:strRef>
          </c:cat>
          <c:val>
            <c:numRef>
              <c:f>'Trend Over Time'!$B$4:$B$11</c:f>
              <c:numCache>
                <c:formatCode>General</c:formatCode>
                <c:ptCount val="7"/>
                <c:pt idx="0">
                  <c:v>146000</c:v>
                </c:pt>
                <c:pt idx="1">
                  <c:v>630000</c:v>
                </c:pt>
                <c:pt idx="2">
                  <c:v>1074000</c:v>
                </c:pt>
                <c:pt idx="3">
                  <c:v>1599000</c:v>
                </c:pt>
                <c:pt idx="4">
                  <c:v>1286000</c:v>
                </c:pt>
                <c:pt idx="5">
                  <c:v>2183000</c:v>
                </c:pt>
                <c:pt idx="6">
                  <c:v>1025000</c:v>
                </c:pt>
              </c:numCache>
            </c:numRef>
          </c:val>
          <c:smooth val="0"/>
          <c:extLst>
            <c:ext xmlns:c16="http://schemas.microsoft.com/office/drawing/2014/chart" uri="{C3380CC4-5D6E-409C-BE32-E72D297353CC}">
              <c16:uniqueId val="{00000000-21B9-421B-8615-DC96A573DAA4}"/>
            </c:ext>
          </c:extLst>
        </c:ser>
        <c:dLbls>
          <c:showLegendKey val="0"/>
          <c:showVal val="0"/>
          <c:showCatName val="0"/>
          <c:showSerName val="0"/>
          <c:showPercent val="0"/>
          <c:showBubbleSize val="0"/>
        </c:dLbls>
        <c:smooth val="0"/>
        <c:axId val="2085549200"/>
        <c:axId val="2085566960"/>
      </c:lineChart>
      <c:catAx>
        <c:axId val="2085549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566960"/>
        <c:crosses val="autoZero"/>
        <c:auto val="1"/>
        <c:lblAlgn val="ctr"/>
        <c:lblOffset val="100"/>
        <c:noMultiLvlLbl val="0"/>
      </c:catAx>
      <c:valAx>
        <c:axId val="2085566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549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[JAL JEEVAN MISSION DASKBOARD.xlsx]Performance Analysis!PivotTable5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Performance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'Performance Analysis'!$B$3</c:f>
              <c:strCache>
                <c:ptCount val="1"/>
                <c:pt idx="0">
                  <c:v>Total</c:v>
                </c:pt>
              </c:strCache>
            </c:strRef>
          </c:tx>
          <c:spPr>
            <a:solidFill>
              <a:schemeClr val="accent1"/>
            </a:solidFill>
            <a:ln>
              <a:noFill/>
            </a:ln>
            <a:effectLst/>
          </c:spPr>
          <c:invertIfNegative val="0"/>
          <c:cat>
            <c:strRef>
              <c:f>'Performance Analysis'!$A$4:$A$28</c:f>
              <c:strCache>
                <c:ptCount val="24"/>
                <c:pt idx="0">
                  <c:v>Alirajpur</c:v>
                </c:pt>
                <c:pt idx="1">
                  <c:v>Barwani</c:v>
                </c:pt>
                <c:pt idx="2">
                  <c:v>Betul</c:v>
                </c:pt>
                <c:pt idx="3">
                  <c:v>Bhopal</c:v>
                </c:pt>
                <c:pt idx="4">
                  <c:v>Burhanpur</c:v>
                </c:pt>
                <c:pt idx="5">
                  <c:v>Chhindwara</c:v>
                </c:pt>
                <c:pt idx="6">
                  <c:v>Damoh</c:v>
                </c:pt>
                <c:pt idx="7">
                  <c:v>Dewas</c:v>
                </c:pt>
                <c:pt idx="8">
                  <c:v>Gwalior</c:v>
                </c:pt>
                <c:pt idx="9">
                  <c:v>Hoshangabad</c:v>
                </c:pt>
                <c:pt idx="10">
                  <c:v>Indore</c:v>
                </c:pt>
                <c:pt idx="11">
                  <c:v>Jabalpur</c:v>
                </c:pt>
                <c:pt idx="12">
                  <c:v>Khandwa</c:v>
                </c:pt>
                <c:pt idx="13">
                  <c:v>Khargone</c:v>
                </c:pt>
                <c:pt idx="14">
                  <c:v>Mandsaur</c:v>
                </c:pt>
                <c:pt idx="15">
                  <c:v>Neemuch</c:v>
                </c:pt>
                <c:pt idx="16">
                  <c:v>Ratlam</c:v>
                </c:pt>
                <c:pt idx="17">
                  <c:v>Rewa</c:v>
                </c:pt>
                <c:pt idx="18">
                  <c:v>Sagar</c:v>
                </c:pt>
                <c:pt idx="19">
                  <c:v>Satna</c:v>
                </c:pt>
                <c:pt idx="20">
                  <c:v>Sehore</c:v>
                </c:pt>
                <c:pt idx="21">
                  <c:v>Shivpuri</c:v>
                </c:pt>
                <c:pt idx="22">
                  <c:v>Ujjain</c:v>
                </c:pt>
                <c:pt idx="23">
                  <c:v>Vidisha</c:v>
                </c:pt>
              </c:strCache>
            </c:strRef>
          </c:cat>
          <c:val>
            <c:numRef>
              <c:f>'Performance Analysis'!$B$4:$B$28</c:f>
              <c:numCache>
                <c:formatCode>0%</c:formatCode>
                <c:ptCount val="24"/>
                <c:pt idx="0">
                  <c:v>0.40277777777777779</c:v>
                </c:pt>
                <c:pt idx="1">
                  <c:v>0.42857142857142855</c:v>
                </c:pt>
                <c:pt idx="2">
                  <c:v>0.56349616101903144</c:v>
                </c:pt>
                <c:pt idx="3">
                  <c:v>0.65069185081439973</c:v>
                </c:pt>
                <c:pt idx="4">
                  <c:v>0.4</c:v>
                </c:pt>
                <c:pt idx="5">
                  <c:v>0.60662134075169927</c:v>
                </c:pt>
                <c:pt idx="6">
                  <c:v>0.40540540540540543</c:v>
                </c:pt>
                <c:pt idx="7">
                  <c:v>0.42307692307692307</c:v>
                </c:pt>
                <c:pt idx="8">
                  <c:v>0.63198523989694844</c:v>
                </c:pt>
                <c:pt idx="9">
                  <c:v>0.42105263157894735</c:v>
                </c:pt>
                <c:pt idx="10">
                  <c:v>0.68106224523264647</c:v>
                </c:pt>
                <c:pt idx="11">
                  <c:v>0.65748943064732535</c:v>
                </c:pt>
                <c:pt idx="12">
                  <c:v>0.54808360545305557</c:v>
                </c:pt>
                <c:pt idx="13">
                  <c:v>0.40277777777777779</c:v>
                </c:pt>
                <c:pt idx="14">
                  <c:v>0.40540540540540543</c:v>
                </c:pt>
                <c:pt idx="15">
                  <c:v>0.41333333333333333</c:v>
                </c:pt>
                <c:pt idx="16">
                  <c:v>0.56365437929357187</c:v>
                </c:pt>
                <c:pt idx="17">
                  <c:v>0.56658289566798625</c:v>
                </c:pt>
                <c:pt idx="18">
                  <c:v>0.58211409880781073</c:v>
                </c:pt>
                <c:pt idx="19">
                  <c:v>0.57516312955691062</c:v>
                </c:pt>
                <c:pt idx="20">
                  <c:v>0.42105263157894735</c:v>
                </c:pt>
                <c:pt idx="21">
                  <c:v>0.4375</c:v>
                </c:pt>
                <c:pt idx="22">
                  <c:v>0.61672188103911207</c:v>
                </c:pt>
                <c:pt idx="23">
                  <c:v>0.43037974683544306</c:v>
                </c:pt>
              </c:numCache>
            </c:numRef>
          </c:val>
          <c:extLst>
            <c:ext xmlns:c16="http://schemas.microsoft.com/office/drawing/2014/chart" uri="{C3380CC4-5D6E-409C-BE32-E72D297353CC}">
              <c16:uniqueId val="{00000000-A823-48D0-9E8C-982024711350}"/>
            </c:ext>
          </c:extLst>
        </c:ser>
        <c:dLbls>
          <c:showLegendKey val="0"/>
          <c:showVal val="0"/>
          <c:showCatName val="0"/>
          <c:showSerName val="0"/>
          <c:showPercent val="0"/>
          <c:showBubbleSize val="0"/>
        </c:dLbls>
        <c:gapWidth val="219"/>
        <c:overlap val="-27"/>
        <c:axId val="172694464"/>
        <c:axId val="172708384"/>
      </c:barChart>
      <c:catAx>
        <c:axId val="17269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08384"/>
        <c:crosses val="autoZero"/>
        <c:auto val="1"/>
        <c:lblAlgn val="ctr"/>
        <c:lblOffset val="100"/>
        <c:noMultiLvlLbl val="0"/>
      </c:catAx>
      <c:valAx>
        <c:axId val="1727083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694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[JAL JEEVAN MISSION DASKBOARD.xlsx]District-wise Comparison!PivotTable1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District-wise Comparison</a:t>
            </a:r>
            <a:endParaRPr lang="en-IN"/>
          </a:p>
        </c:rich>
      </c:tx>
      <c:layout>
        <c:manualLayout>
          <c:xMode val="edge"/>
          <c:yMode val="edge"/>
          <c:x val="0.35650699912510941"/>
          <c:y val="6.84237386993292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'District-wise Comparison'!$B$3</c:f>
              <c:strCache>
                <c:ptCount val="1"/>
                <c:pt idx="0">
                  <c:v>Total</c:v>
                </c:pt>
              </c:strCache>
            </c:strRef>
          </c:tx>
          <c:spPr>
            <a:solidFill>
              <a:schemeClr val="accent1"/>
            </a:solidFill>
            <a:ln>
              <a:noFill/>
            </a:ln>
            <a:effectLst/>
          </c:spPr>
          <c:invertIfNegative val="0"/>
          <c:cat>
            <c:strRef>
              <c:f>'District-wise Comparison'!$A$4:$A$28</c:f>
              <c:strCache>
                <c:ptCount val="24"/>
                <c:pt idx="0">
                  <c:v>Alirajpur</c:v>
                </c:pt>
                <c:pt idx="1">
                  <c:v>Barwani</c:v>
                </c:pt>
                <c:pt idx="2">
                  <c:v>Betul</c:v>
                </c:pt>
                <c:pt idx="3">
                  <c:v>Bhopal</c:v>
                </c:pt>
                <c:pt idx="4">
                  <c:v>Burhanpur</c:v>
                </c:pt>
                <c:pt idx="5">
                  <c:v>Chhindwara</c:v>
                </c:pt>
                <c:pt idx="6">
                  <c:v>Damoh</c:v>
                </c:pt>
                <c:pt idx="7">
                  <c:v>Dewas</c:v>
                </c:pt>
                <c:pt idx="8">
                  <c:v>Gwalior</c:v>
                </c:pt>
                <c:pt idx="9">
                  <c:v>Hoshangabad</c:v>
                </c:pt>
                <c:pt idx="10">
                  <c:v>Indore</c:v>
                </c:pt>
                <c:pt idx="11">
                  <c:v>Jabalpur</c:v>
                </c:pt>
                <c:pt idx="12">
                  <c:v>Khandwa</c:v>
                </c:pt>
                <c:pt idx="13">
                  <c:v>Khargone</c:v>
                </c:pt>
                <c:pt idx="14">
                  <c:v>Mandsaur</c:v>
                </c:pt>
                <c:pt idx="15">
                  <c:v>Neemuch</c:v>
                </c:pt>
                <c:pt idx="16">
                  <c:v>Ratlam</c:v>
                </c:pt>
                <c:pt idx="17">
                  <c:v>Rewa</c:v>
                </c:pt>
                <c:pt idx="18">
                  <c:v>Sagar</c:v>
                </c:pt>
                <c:pt idx="19">
                  <c:v>Satna</c:v>
                </c:pt>
                <c:pt idx="20">
                  <c:v>Sehore</c:v>
                </c:pt>
                <c:pt idx="21">
                  <c:v>Shivpuri</c:v>
                </c:pt>
                <c:pt idx="22">
                  <c:v>Ujjain</c:v>
                </c:pt>
                <c:pt idx="23">
                  <c:v>Vidisha</c:v>
                </c:pt>
              </c:strCache>
            </c:strRef>
          </c:cat>
          <c:val>
            <c:numRef>
              <c:f>'District-wise Comparison'!$B$4:$B$28</c:f>
              <c:numCache>
                <c:formatCode>General</c:formatCode>
                <c:ptCount val="24"/>
                <c:pt idx="0">
                  <c:v>14500</c:v>
                </c:pt>
                <c:pt idx="1">
                  <c:v>16500</c:v>
                </c:pt>
                <c:pt idx="2">
                  <c:v>537000</c:v>
                </c:pt>
                <c:pt idx="3">
                  <c:v>679000</c:v>
                </c:pt>
                <c:pt idx="4">
                  <c:v>14000</c:v>
                </c:pt>
                <c:pt idx="5">
                  <c:v>646000</c:v>
                </c:pt>
                <c:pt idx="6">
                  <c:v>15000</c:v>
                </c:pt>
                <c:pt idx="7">
                  <c:v>16500</c:v>
                </c:pt>
                <c:pt idx="8">
                  <c:v>748500</c:v>
                </c:pt>
                <c:pt idx="9">
                  <c:v>16000</c:v>
                </c:pt>
                <c:pt idx="10">
                  <c:v>750000</c:v>
                </c:pt>
                <c:pt idx="11">
                  <c:v>908000</c:v>
                </c:pt>
                <c:pt idx="12">
                  <c:v>503500</c:v>
                </c:pt>
                <c:pt idx="13">
                  <c:v>14500</c:v>
                </c:pt>
                <c:pt idx="14">
                  <c:v>15000</c:v>
                </c:pt>
                <c:pt idx="15">
                  <c:v>15500</c:v>
                </c:pt>
                <c:pt idx="16">
                  <c:v>536000</c:v>
                </c:pt>
                <c:pt idx="17">
                  <c:v>571500</c:v>
                </c:pt>
                <c:pt idx="18">
                  <c:v>602000</c:v>
                </c:pt>
                <c:pt idx="19">
                  <c:v>592000</c:v>
                </c:pt>
                <c:pt idx="20">
                  <c:v>16000</c:v>
                </c:pt>
                <c:pt idx="21">
                  <c:v>17500</c:v>
                </c:pt>
                <c:pt idx="22">
                  <c:v>681500</c:v>
                </c:pt>
                <c:pt idx="23">
                  <c:v>17000</c:v>
                </c:pt>
              </c:numCache>
            </c:numRef>
          </c:val>
          <c:extLst>
            <c:ext xmlns:c16="http://schemas.microsoft.com/office/drawing/2014/chart" uri="{C3380CC4-5D6E-409C-BE32-E72D297353CC}">
              <c16:uniqueId val="{00000000-DAF4-457C-89CD-27C93BADA2CC}"/>
            </c:ext>
          </c:extLst>
        </c:ser>
        <c:dLbls>
          <c:showLegendKey val="0"/>
          <c:showVal val="0"/>
          <c:showCatName val="0"/>
          <c:showSerName val="0"/>
          <c:showPercent val="0"/>
          <c:showBubbleSize val="0"/>
        </c:dLbls>
        <c:gapWidth val="182"/>
        <c:axId val="2085570320"/>
        <c:axId val="2085561200"/>
      </c:barChart>
      <c:catAx>
        <c:axId val="2085570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561200"/>
        <c:crosses val="autoZero"/>
        <c:auto val="1"/>
        <c:lblAlgn val="ctr"/>
        <c:lblOffset val="100"/>
        <c:noMultiLvlLbl val="0"/>
      </c:catAx>
      <c:valAx>
        <c:axId val="20855612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570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[JAL JEEVAN MISSION DASKBOARD.xlsx]Trend Over Time!PivotTable2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Trend Over Time</a:t>
            </a:r>
            <a:endParaRPr lang="en-US"/>
          </a:p>
        </c:rich>
      </c:tx>
      <c:layout>
        <c:manualLayout>
          <c:xMode val="edge"/>
          <c:yMode val="edge"/>
          <c:x val="0.36091666666666666"/>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 Over Time'!$B$3</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'Trend Over Time'!$A$4:$A$11</c:f>
              <c:strCache>
                <c:ptCount val="7"/>
                <c:pt idx="0">
                  <c:v>2020</c:v>
                </c:pt>
                <c:pt idx="1">
                  <c:v>2021</c:v>
                </c:pt>
                <c:pt idx="2">
                  <c:v>2022</c:v>
                </c:pt>
                <c:pt idx="3">
                  <c:v>2023</c:v>
                </c:pt>
                <c:pt idx="4">
                  <c:v>2024</c:v>
                </c:pt>
                <c:pt idx="5">
                  <c:v>2025</c:v>
                </c:pt>
                <c:pt idx="6">
                  <c:v>2026</c:v>
                </c:pt>
              </c:strCache>
            </c:strRef>
          </c:cat>
          <c:val>
            <c:numRef>
              <c:f>'Trend Over Time'!$B$4:$B$11</c:f>
              <c:numCache>
                <c:formatCode>General</c:formatCode>
                <c:ptCount val="7"/>
                <c:pt idx="0">
                  <c:v>146000</c:v>
                </c:pt>
                <c:pt idx="1">
                  <c:v>630000</c:v>
                </c:pt>
                <c:pt idx="2">
                  <c:v>1074000</c:v>
                </c:pt>
                <c:pt idx="3">
                  <c:v>1599000</c:v>
                </c:pt>
                <c:pt idx="4">
                  <c:v>1286000</c:v>
                </c:pt>
                <c:pt idx="5">
                  <c:v>2183000</c:v>
                </c:pt>
                <c:pt idx="6">
                  <c:v>1025000</c:v>
                </c:pt>
              </c:numCache>
            </c:numRef>
          </c:val>
          <c:smooth val="0"/>
          <c:extLst>
            <c:ext xmlns:c16="http://schemas.microsoft.com/office/drawing/2014/chart" uri="{C3380CC4-5D6E-409C-BE32-E72D297353CC}">
              <c16:uniqueId val="{00000001-0CF9-4D68-B5CB-E01511E927A8}"/>
            </c:ext>
          </c:extLst>
        </c:ser>
        <c:dLbls>
          <c:showLegendKey val="0"/>
          <c:showVal val="0"/>
          <c:showCatName val="0"/>
          <c:showSerName val="0"/>
          <c:showPercent val="0"/>
          <c:showBubbleSize val="0"/>
        </c:dLbls>
        <c:smooth val="0"/>
        <c:axId val="2085549200"/>
        <c:axId val="2085566960"/>
      </c:lineChart>
      <c:catAx>
        <c:axId val="2085549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566960"/>
        <c:crosses val="autoZero"/>
        <c:auto val="1"/>
        <c:lblAlgn val="ctr"/>
        <c:lblOffset val="100"/>
        <c:noMultiLvlLbl val="0"/>
      </c:catAx>
      <c:valAx>
        <c:axId val="2085566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549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[JAL JEEVAN MISSION DASKBOARD.xlsx]Source Distribution!PivotTable3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'Source Distribution'!$B$3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CF8-4D7A-AD9F-9C1DD165B9B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CF8-4D7A-AD9F-9C1DD165B9B0}"/>
              </c:ext>
            </c:extLst>
          </c:dPt>
          <c:cat>
            <c:strRef>
              <c:f>'Source Distribution'!$A$4:$A$6</c:f>
              <c:strCache>
                <c:ptCount val="2"/>
                <c:pt idx="0">
                  <c:v>Groundwater</c:v>
                </c:pt>
                <c:pt idx="1">
                  <c:v>Surface</c:v>
                </c:pt>
              </c:strCache>
            </c:strRef>
          </c:cat>
          <c:val>
            <c:numRef>
              <c:f>'Source Distribution'!$B$4:$B$6</c:f>
              <c:numCache>
                <c:formatCode>General</c:formatCode>
                <c:ptCount val="2"/>
                <c:pt idx="0">
                  <c:v>97</c:v>
                </c:pt>
                <c:pt idx="1">
                  <c:v>98</c:v>
                </c:pt>
              </c:numCache>
            </c:numRef>
          </c:val>
          <c:extLst>
            <c:ext xmlns:c16="http://schemas.microsoft.com/office/drawing/2014/chart" uri="{C3380CC4-5D6E-409C-BE32-E72D297353CC}">
              <c16:uniqueId val="{00000004-6CF8-4D7A-AD9F-9C1DD165B9B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[JAL JEEVAN MISSION DASKBOARD.xlsx]Performance Analysis!PivotTable5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Performance</a:t>
            </a:r>
            <a:endParaRPr lang="en-IN"/>
          </a:p>
        </c:rich>
      </c:tx>
      <c:layout>
        <c:manualLayout>
          <c:xMode val="edge"/>
          <c:yMode val="edge"/>
          <c:x val="0.38510153937579283"/>
          <c:y val="0.1539101090624541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'Performance Analysis'!$B$3</c:f>
              <c:strCache>
                <c:ptCount val="1"/>
                <c:pt idx="0">
                  <c:v>Total</c:v>
                </c:pt>
              </c:strCache>
            </c:strRef>
          </c:tx>
          <c:spPr>
            <a:solidFill>
              <a:schemeClr val="accent1"/>
            </a:solidFill>
            <a:ln>
              <a:noFill/>
            </a:ln>
            <a:effectLst/>
          </c:spPr>
          <c:invertIfNegative val="0"/>
          <c:cat>
            <c:strRef>
              <c:f>'Performance Analysis'!$A$4:$A$28</c:f>
              <c:strCache>
                <c:ptCount val="24"/>
                <c:pt idx="0">
                  <c:v>Alirajpur</c:v>
                </c:pt>
                <c:pt idx="1">
                  <c:v>Barwani</c:v>
                </c:pt>
                <c:pt idx="2">
                  <c:v>Betul</c:v>
                </c:pt>
                <c:pt idx="3">
                  <c:v>Bhopal</c:v>
                </c:pt>
                <c:pt idx="4">
                  <c:v>Burhanpur</c:v>
                </c:pt>
                <c:pt idx="5">
                  <c:v>Chhindwara</c:v>
                </c:pt>
                <c:pt idx="6">
                  <c:v>Damoh</c:v>
                </c:pt>
                <c:pt idx="7">
                  <c:v>Dewas</c:v>
                </c:pt>
                <c:pt idx="8">
                  <c:v>Gwalior</c:v>
                </c:pt>
                <c:pt idx="9">
                  <c:v>Hoshangabad</c:v>
                </c:pt>
                <c:pt idx="10">
                  <c:v>Indore</c:v>
                </c:pt>
                <c:pt idx="11">
                  <c:v>Jabalpur</c:v>
                </c:pt>
                <c:pt idx="12">
                  <c:v>Khandwa</c:v>
                </c:pt>
                <c:pt idx="13">
                  <c:v>Khargone</c:v>
                </c:pt>
                <c:pt idx="14">
                  <c:v>Mandsaur</c:v>
                </c:pt>
                <c:pt idx="15">
                  <c:v>Neemuch</c:v>
                </c:pt>
                <c:pt idx="16">
                  <c:v>Ratlam</c:v>
                </c:pt>
                <c:pt idx="17">
                  <c:v>Rewa</c:v>
                </c:pt>
                <c:pt idx="18">
                  <c:v>Sagar</c:v>
                </c:pt>
                <c:pt idx="19">
                  <c:v>Satna</c:v>
                </c:pt>
                <c:pt idx="20">
                  <c:v>Sehore</c:v>
                </c:pt>
                <c:pt idx="21">
                  <c:v>Shivpuri</c:v>
                </c:pt>
                <c:pt idx="22">
                  <c:v>Ujjain</c:v>
                </c:pt>
                <c:pt idx="23">
                  <c:v>Vidisha</c:v>
                </c:pt>
              </c:strCache>
            </c:strRef>
          </c:cat>
          <c:val>
            <c:numRef>
              <c:f>'Performance Analysis'!$B$4:$B$28</c:f>
              <c:numCache>
                <c:formatCode>0%</c:formatCode>
                <c:ptCount val="24"/>
                <c:pt idx="0">
                  <c:v>0.40277777777777779</c:v>
                </c:pt>
                <c:pt idx="1">
                  <c:v>0.42857142857142855</c:v>
                </c:pt>
                <c:pt idx="2">
                  <c:v>0.56349616101903144</c:v>
                </c:pt>
                <c:pt idx="3">
                  <c:v>0.65069185081439973</c:v>
                </c:pt>
                <c:pt idx="4">
                  <c:v>0.4</c:v>
                </c:pt>
                <c:pt idx="5">
                  <c:v>0.60662134075169927</c:v>
                </c:pt>
                <c:pt idx="6">
                  <c:v>0.40540540540540543</c:v>
                </c:pt>
                <c:pt idx="7">
                  <c:v>0.42307692307692307</c:v>
                </c:pt>
                <c:pt idx="8">
                  <c:v>0.63198523989694844</c:v>
                </c:pt>
                <c:pt idx="9">
                  <c:v>0.42105263157894735</c:v>
                </c:pt>
                <c:pt idx="10">
                  <c:v>0.68106224523264647</c:v>
                </c:pt>
                <c:pt idx="11">
                  <c:v>0.65748943064732535</c:v>
                </c:pt>
                <c:pt idx="12">
                  <c:v>0.54808360545305557</c:v>
                </c:pt>
                <c:pt idx="13">
                  <c:v>0.40277777777777779</c:v>
                </c:pt>
                <c:pt idx="14">
                  <c:v>0.40540540540540543</c:v>
                </c:pt>
                <c:pt idx="15">
                  <c:v>0.41333333333333333</c:v>
                </c:pt>
                <c:pt idx="16">
                  <c:v>0.56365437929357187</c:v>
                </c:pt>
                <c:pt idx="17">
                  <c:v>0.56658289566798625</c:v>
                </c:pt>
                <c:pt idx="18">
                  <c:v>0.58211409880781073</c:v>
                </c:pt>
                <c:pt idx="19">
                  <c:v>0.57516312955691062</c:v>
                </c:pt>
                <c:pt idx="20">
                  <c:v>0.42105263157894735</c:v>
                </c:pt>
                <c:pt idx="21">
                  <c:v>0.4375</c:v>
                </c:pt>
                <c:pt idx="22">
                  <c:v>0.61672188103911207</c:v>
                </c:pt>
                <c:pt idx="23">
                  <c:v>0.43037974683544306</c:v>
                </c:pt>
              </c:numCache>
            </c:numRef>
          </c:val>
          <c:extLst>
            <c:ext xmlns:c16="http://schemas.microsoft.com/office/drawing/2014/chart" uri="{C3380CC4-5D6E-409C-BE32-E72D297353CC}">
              <c16:uniqueId val="{00000000-3A7D-48F5-B40A-4E816769BC22}"/>
            </c:ext>
          </c:extLst>
        </c:ser>
        <c:dLbls>
          <c:showLegendKey val="0"/>
          <c:showVal val="0"/>
          <c:showCatName val="0"/>
          <c:showSerName val="0"/>
          <c:showPercent val="0"/>
          <c:showBubbleSize val="0"/>
        </c:dLbls>
        <c:gapWidth val="219"/>
        <c:overlap val="-27"/>
        <c:axId val="172694464"/>
        <c:axId val="172708384"/>
      </c:barChart>
      <c:catAx>
        <c:axId val="17269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08384"/>
        <c:crosses val="autoZero"/>
        <c:auto val="1"/>
        <c:lblAlgn val="ctr"/>
        <c:lblOffset val="100"/>
        <c:noMultiLvlLbl val="0"/>
      </c:catAx>
      <c:valAx>
        <c:axId val="1727083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694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12700</xdr:colOff>
      <xdr:row>6</xdr:row>
      <xdr:rowOff>25400</xdr:rowOff>
    </xdr:from>
    <xdr:to>
      <xdr:col>10</xdr:col>
      <xdr:colOff>317500</xdr:colOff>
      <xdr:row>21</xdr:row>
      <xdr:rowOff>6350</xdr:rowOff>
    </xdr:to>
    <xdr:graphicFrame macro="">
      <xdr:nvGraphicFramePr>
        <xdr:cNvPr id="2" name="Chart 1">
          <a:extLst>
            <a:ext uri="{FF2B5EF4-FFF2-40B4-BE49-F238E27FC236}">
              <a16:creationId xmlns:a16="http://schemas.microsoft.com/office/drawing/2014/main" id="{3672C9FB-808D-6E85-68AE-E864CB6055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6350</xdr:colOff>
      <xdr:row>4</xdr:row>
      <xdr:rowOff>171450</xdr:rowOff>
    </xdr:from>
    <xdr:to>
      <xdr:col>10</xdr:col>
      <xdr:colOff>311150</xdr:colOff>
      <xdr:row>19</xdr:row>
      <xdr:rowOff>152400</xdr:rowOff>
    </xdr:to>
    <xdr:graphicFrame macro="">
      <xdr:nvGraphicFramePr>
        <xdr:cNvPr id="2" name="Chart 1">
          <a:extLst>
            <a:ext uri="{FF2B5EF4-FFF2-40B4-BE49-F238E27FC236}">
              <a16:creationId xmlns:a16="http://schemas.microsoft.com/office/drawing/2014/main" id="{F6C9CD94-D3A2-A741-3E01-4032616C24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400050</xdr:colOff>
      <xdr:row>5</xdr:row>
      <xdr:rowOff>44450</xdr:rowOff>
    </xdr:from>
    <xdr:to>
      <xdr:col>10</xdr:col>
      <xdr:colOff>95250</xdr:colOff>
      <xdr:row>20</xdr:row>
      <xdr:rowOff>25400</xdr:rowOff>
    </xdr:to>
    <xdr:graphicFrame macro="">
      <xdr:nvGraphicFramePr>
        <xdr:cNvPr id="2" name="Chart 1">
          <a:extLst>
            <a:ext uri="{FF2B5EF4-FFF2-40B4-BE49-F238E27FC236}">
              <a16:creationId xmlns:a16="http://schemas.microsoft.com/office/drawing/2014/main" id="{936A9C4B-8794-D5F9-D3F9-8F0F435CC5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76200</xdr:colOff>
      <xdr:row>5</xdr:row>
      <xdr:rowOff>31750</xdr:rowOff>
    </xdr:from>
    <xdr:to>
      <xdr:col>9</xdr:col>
      <xdr:colOff>381000</xdr:colOff>
      <xdr:row>20</xdr:row>
      <xdr:rowOff>12700</xdr:rowOff>
    </xdr:to>
    <xdr:graphicFrame macro="">
      <xdr:nvGraphicFramePr>
        <xdr:cNvPr id="2" name="Chart 1">
          <a:extLst>
            <a:ext uri="{FF2B5EF4-FFF2-40B4-BE49-F238E27FC236}">
              <a16:creationId xmlns:a16="http://schemas.microsoft.com/office/drawing/2014/main" id="{5DECF42E-4E9C-A755-F9AA-A5C0803EA6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247650</xdr:colOff>
      <xdr:row>1</xdr:row>
      <xdr:rowOff>50800</xdr:rowOff>
    </xdr:from>
    <xdr:to>
      <xdr:col>11</xdr:col>
      <xdr:colOff>247650</xdr:colOff>
      <xdr:row>14</xdr:row>
      <xdr:rowOff>180975</xdr:rowOff>
    </xdr:to>
    <mc:AlternateContent xmlns:mc="http://schemas.openxmlformats.org/markup-compatibility/2006" xmlns:a14="http://schemas.microsoft.com/office/drawing/2010/main">
      <mc:Choice Requires="a14">
        <xdr:graphicFrame macro="">
          <xdr:nvGraphicFramePr>
            <xdr:cNvPr id="2" name="District">
              <a:extLst>
                <a:ext uri="{FF2B5EF4-FFF2-40B4-BE49-F238E27FC236}">
                  <a16:creationId xmlns:a16="http://schemas.microsoft.com/office/drawing/2014/main" id="{4C7A5D1A-68D7-4CD1-F326-E4431EC06EFB}"/>
                </a:ext>
              </a:extLst>
            </xdr:cNvPr>
            <xdr:cNvGraphicFramePr/>
          </xdr:nvGraphicFramePr>
          <xdr:xfrm>
            <a:off x="0" y="0"/>
            <a:ext cx="0" cy="0"/>
          </xdr:xfrm>
          <a:graphic>
            <a:graphicData uri="http://schemas.microsoft.com/office/drawing/2010/slicer">
              <sle:slicer xmlns:sle="http://schemas.microsoft.com/office/drawing/2010/slicer" name="District"/>
            </a:graphicData>
          </a:graphic>
        </xdr:graphicFrame>
      </mc:Choice>
      <mc:Fallback xmlns="">
        <xdr:sp macro="" textlink="">
          <xdr:nvSpPr>
            <xdr:cNvPr id="0" name=""/>
            <xdr:cNvSpPr>
              <a:spLocks noTextEdit="1"/>
            </xdr:cNvSpPr>
          </xdr:nvSpPr>
          <xdr:spPr>
            <a:xfrm>
              <a:off x="8274050" y="2349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6350</xdr:rowOff>
    </xdr:from>
    <xdr:to>
      <xdr:col>19</xdr:col>
      <xdr:colOff>69850</xdr:colOff>
      <xdr:row>3</xdr:row>
      <xdr:rowOff>120650</xdr:rowOff>
    </xdr:to>
    <xdr:sp macro="" textlink="">
      <xdr:nvSpPr>
        <xdr:cNvPr id="2" name="Rectangle: Rounded Corners 1">
          <a:extLst>
            <a:ext uri="{FF2B5EF4-FFF2-40B4-BE49-F238E27FC236}">
              <a16:creationId xmlns:a16="http://schemas.microsoft.com/office/drawing/2014/main" id="{CDD7A691-8C1D-ADB1-B450-F4D0D0952D1C}"/>
            </a:ext>
          </a:extLst>
        </xdr:cNvPr>
        <xdr:cNvSpPr/>
      </xdr:nvSpPr>
      <xdr:spPr>
        <a:xfrm>
          <a:off x="0" y="6350"/>
          <a:ext cx="11652250" cy="6667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000" b="1">
              <a:latin typeface="Times New Roman" panose="02020603050405020304" pitchFamily="18" charset="0"/>
              <a:cs typeface="Times New Roman" panose="02020603050405020304" pitchFamily="18" charset="0"/>
            </a:rPr>
            <a:t>Jal Jeevan Mission</a:t>
          </a:r>
          <a:r>
            <a:rPr lang="en-IN" sz="4000" b="1" baseline="0">
              <a:latin typeface="Times New Roman" panose="02020603050405020304" pitchFamily="18" charset="0"/>
              <a:cs typeface="Times New Roman" panose="02020603050405020304" pitchFamily="18" charset="0"/>
            </a:rPr>
            <a:t> </a:t>
          </a:r>
          <a:endParaRPr lang="en-IN" sz="4000" b="1">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3</xdr:row>
      <xdr:rowOff>127000</xdr:rowOff>
    </xdr:from>
    <xdr:to>
      <xdr:col>3</xdr:col>
      <xdr:colOff>450850</xdr:colOff>
      <xdr:row>8</xdr:row>
      <xdr:rowOff>178250</xdr:rowOff>
    </xdr:to>
    <xdr:grpSp>
      <xdr:nvGrpSpPr>
        <xdr:cNvPr id="7" name="Group 6">
          <a:extLst>
            <a:ext uri="{FF2B5EF4-FFF2-40B4-BE49-F238E27FC236}">
              <a16:creationId xmlns:a16="http://schemas.microsoft.com/office/drawing/2014/main" id="{0A76194E-D581-FD47-1786-27B368B1AAA3}"/>
            </a:ext>
          </a:extLst>
        </xdr:cNvPr>
        <xdr:cNvGrpSpPr/>
      </xdr:nvGrpSpPr>
      <xdr:grpSpPr>
        <a:xfrm>
          <a:off x="0" y="679450"/>
          <a:ext cx="2279650" cy="972000"/>
          <a:chOff x="247650" y="723900"/>
          <a:chExt cx="2870200" cy="1130300"/>
        </a:xfrm>
      </xdr:grpSpPr>
      <xdr:grpSp>
        <xdr:nvGrpSpPr>
          <xdr:cNvPr id="6" name="Group 5">
            <a:extLst>
              <a:ext uri="{FF2B5EF4-FFF2-40B4-BE49-F238E27FC236}">
                <a16:creationId xmlns:a16="http://schemas.microsoft.com/office/drawing/2014/main" id="{8BBBBC6B-5B27-943C-E4EB-425930E3B5A0}"/>
              </a:ext>
            </a:extLst>
          </xdr:cNvPr>
          <xdr:cNvGrpSpPr/>
        </xdr:nvGrpSpPr>
        <xdr:grpSpPr>
          <a:xfrm>
            <a:off x="247650" y="723900"/>
            <a:ext cx="2870200" cy="1130300"/>
            <a:chOff x="260350" y="749300"/>
            <a:chExt cx="2870200" cy="1130300"/>
          </a:xfrm>
        </xdr:grpSpPr>
        <xdr:sp macro="" textlink="">
          <xdr:nvSpPr>
            <xdr:cNvPr id="3" name="Rectangle: Rounded Corners 2">
              <a:extLst>
                <a:ext uri="{FF2B5EF4-FFF2-40B4-BE49-F238E27FC236}">
                  <a16:creationId xmlns:a16="http://schemas.microsoft.com/office/drawing/2014/main" id="{24D553A9-87AA-E6C4-3CE5-EE03DCA9FE3B}"/>
                </a:ext>
              </a:extLst>
            </xdr:cNvPr>
            <xdr:cNvSpPr/>
          </xdr:nvSpPr>
          <xdr:spPr>
            <a:xfrm>
              <a:off x="260350" y="749300"/>
              <a:ext cx="2870200" cy="1130300"/>
            </a:xfrm>
            <a:prstGeom prst="roundRect">
              <a:avLst/>
            </a:prstGeom>
            <a:solidFill>
              <a:schemeClr val="accent1">
                <a:lumMod val="7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ectangle: Rounded Corners 3">
              <a:extLst>
                <a:ext uri="{FF2B5EF4-FFF2-40B4-BE49-F238E27FC236}">
                  <a16:creationId xmlns:a16="http://schemas.microsoft.com/office/drawing/2014/main" id="{32EDB22E-688A-9253-C843-E96B8215124E}"/>
                </a:ext>
              </a:extLst>
            </xdr:cNvPr>
            <xdr:cNvSpPr/>
          </xdr:nvSpPr>
          <xdr:spPr>
            <a:xfrm>
              <a:off x="342900" y="787400"/>
              <a:ext cx="2692400" cy="508000"/>
            </a:xfrm>
            <a:prstGeom prst="roundRect">
              <a:avLst/>
            </a:prstGeom>
            <a:solidFill>
              <a:schemeClr val="accent1">
                <a:lumMod val="40000"/>
                <a:lumOff val="6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ysClr val="windowText" lastClr="000000"/>
                  </a:solidFill>
                  <a:latin typeface="Times New Roman" panose="02020603050405020304" pitchFamily="18" charset="0"/>
                  <a:cs typeface="Times New Roman" panose="02020603050405020304" pitchFamily="18" charset="0"/>
                </a:rPr>
                <a:t>TOTAL FHTC</a:t>
              </a:r>
            </a:p>
          </xdr:txBody>
        </xdr:sp>
      </xdr:grpSp>
      <xdr:sp macro="" textlink="'KPI CARD'!D7">
        <xdr:nvSpPr>
          <xdr:cNvPr id="5" name="Rectangle: Rounded Corners 4">
            <a:extLst>
              <a:ext uri="{FF2B5EF4-FFF2-40B4-BE49-F238E27FC236}">
                <a16:creationId xmlns:a16="http://schemas.microsoft.com/office/drawing/2014/main" id="{FE193326-F797-4DB3-B4D5-DE6FFC0AC652}"/>
              </a:ext>
            </a:extLst>
          </xdr:cNvPr>
          <xdr:cNvSpPr/>
        </xdr:nvSpPr>
        <xdr:spPr>
          <a:xfrm>
            <a:off x="336550" y="1320800"/>
            <a:ext cx="2692400" cy="508000"/>
          </a:xfrm>
          <a:prstGeom prst="roundRect">
            <a:avLst/>
          </a:prstGeom>
          <a:solidFill>
            <a:schemeClr val="accent1">
              <a:lumMod val="40000"/>
              <a:lumOff val="6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C8FE721-FFD9-43CD-A3DE-4AF0B79F7070}" type="TxLink">
              <a:rPr lang="en-US" sz="1600" b="0" i="0" u="none" strike="noStrike">
                <a:solidFill>
                  <a:srgbClr val="000000"/>
                </a:solidFill>
                <a:latin typeface="Calibri"/>
                <a:cs typeface="Calibri"/>
              </a:rPr>
              <a:pPr algn="ctr"/>
              <a:t>12655500</a:t>
            </a:fld>
            <a:endParaRPr lang="en-IN" sz="1600"/>
          </a:p>
        </xdr:txBody>
      </xdr:sp>
    </xdr:grpSp>
    <xdr:clientData/>
  </xdr:twoCellAnchor>
  <xdr:twoCellAnchor>
    <xdr:from>
      <xdr:col>0</xdr:col>
      <xdr:colOff>0</xdr:colOff>
      <xdr:row>14</xdr:row>
      <xdr:rowOff>127000</xdr:rowOff>
    </xdr:from>
    <xdr:to>
      <xdr:col>3</xdr:col>
      <xdr:colOff>457200</xdr:colOff>
      <xdr:row>19</xdr:row>
      <xdr:rowOff>178250</xdr:rowOff>
    </xdr:to>
    <xdr:grpSp>
      <xdr:nvGrpSpPr>
        <xdr:cNvPr id="8" name="Group 7">
          <a:extLst>
            <a:ext uri="{FF2B5EF4-FFF2-40B4-BE49-F238E27FC236}">
              <a16:creationId xmlns:a16="http://schemas.microsoft.com/office/drawing/2014/main" id="{EEB74871-4024-431C-A947-465D2A01075E}"/>
            </a:ext>
          </a:extLst>
        </xdr:cNvPr>
        <xdr:cNvGrpSpPr/>
      </xdr:nvGrpSpPr>
      <xdr:grpSpPr>
        <a:xfrm>
          <a:off x="0" y="2705100"/>
          <a:ext cx="2286000" cy="972000"/>
          <a:chOff x="247650" y="723900"/>
          <a:chExt cx="2870200" cy="1130300"/>
        </a:xfrm>
      </xdr:grpSpPr>
      <xdr:grpSp>
        <xdr:nvGrpSpPr>
          <xdr:cNvPr id="9" name="Group 8">
            <a:extLst>
              <a:ext uri="{FF2B5EF4-FFF2-40B4-BE49-F238E27FC236}">
                <a16:creationId xmlns:a16="http://schemas.microsoft.com/office/drawing/2014/main" id="{95DF515E-52A7-D328-5F1C-3376F2E5A08A}"/>
              </a:ext>
            </a:extLst>
          </xdr:cNvPr>
          <xdr:cNvGrpSpPr/>
        </xdr:nvGrpSpPr>
        <xdr:grpSpPr>
          <a:xfrm>
            <a:off x="247650" y="723900"/>
            <a:ext cx="2870200" cy="1130300"/>
            <a:chOff x="260350" y="749300"/>
            <a:chExt cx="2870200" cy="1130300"/>
          </a:xfrm>
        </xdr:grpSpPr>
        <xdr:sp macro="" textlink="">
          <xdr:nvSpPr>
            <xdr:cNvPr id="11" name="Rectangle: Rounded Corners 10">
              <a:extLst>
                <a:ext uri="{FF2B5EF4-FFF2-40B4-BE49-F238E27FC236}">
                  <a16:creationId xmlns:a16="http://schemas.microsoft.com/office/drawing/2014/main" id="{07B708E8-76D4-4D7E-7851-5B83A11BC8C4}"/>
                </a:ext>
              </a:extLst>
            </xdr:cNvPr>
            <xdr:cNvSpPr/>
          </xdr:nvSpPr>
          <xdr:spPr>
            <a:xfrm>
              <a:off x="260350" y="749300"/>
              <a:ext cx="2870200" cy="1130300"/>
            </a:xfrm>
            <a:prstGeom prst="roundRect">
              <a:avLst/>
            </a:prstGeom>
            <a:solidFill>
              <a:schemeClr val="accent1">
                <a:lumMod val="7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Rectangle: Rounded Corners 11">
              <a:extLst>
                <a:ext uri="{FF2B5EF4-FFF2-40B4-BE49-F238E27FC236}">
                  <a16:creationId xmlns:a16="http://schemas.microsoft.com/office/drawing/2014/main" id="{B7284336-565A-E3E9-B967-BE5F4E9C3F2D}"/>
                </a:ext>
              </a:extLst>
            </xdr:cNvPr>
            <xdr:cNvSpPr/>
          </xdr:nvSpPr>
          <xdr:spPr>
            <a:xfrm>
              <a:off x="342900" y="787400"/>
              <a:ext cx="2692400" cy="508000"/>
            </a:xfrm>
            <a:prstGeom prst="roundRect">
              <a:avLst/>
            </a:prstGeom>
            <a:solidFill>
              <a:schemeClr val="accent1">
                <a:lumMod val="40000"/>
                <a:lumOff val="6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ysClr val="windowText" lastClr="000000"/>
                  </a:solidFill>
                  <a:latin typeface="Times New Roman" panose="02020603050405020304" pitchFamily="18" charset="0"/>
                  <a:cs typeface="Times New Roman" panose="02020603050405020304" pitchFamily="18" charset="0"/>
                </a:rPr>
                <a:t>PROVIDED FHTC</a:t>
              </a:r>
            </a:p>
          </xdr:txBody>
        </xdr:sp>
      </xdr:grpSp>
      <xdr:sp macro="" textlink="'KPI CARD'!A7">
        <xdr:nvSpPr>
          <xdr:cNvPr id="10" name="Rectangle: Rounded Corners 9">
            <a:extLst>
              <a:ext uri="{FF2B5EF4-FFF2-40B4-BE49-F238E27FC236}">
                <a16:creationId xmlns:a16="http://schemas.microsoft.com/office/drawing/2014/main" id="{EE6A83A2-9B58-003D-B4E9-589E0AD662A5}"/>
              </a:ext>
            </a:extLst>
          </xdr:cNvPr>
          <xdr:cNvSpPr/>
        </xdr:nvSpPr>
        <xdr:spPr>
          <a:xfrm>
            <a:off x="336550" y="1320800"/>
            <a:ext cx="2692400" cy="508000"/>
          </a:xfrm>
          <a:prstGeom prst="roundRect">
            <a:avLst/>
          </a:prstGeom>
          <a:solidFill>
            <a:schemeClr val="accent1">
              <a:lumMod val="40000"/>
              <a:lumOff val="6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045B69A-D618-43D5-8971-AD62406D080C}" type="TxLink">
              <a:rPr lang="en-US" sz="1600" b="0" i="0" u="none" strike="noStrike">
                <a:solidFill>
                  <a:srgbClr val="000000"/>
                </a:solidFill>
                <a:latin typeface="Calibri"/>
                <a:cs typeface="Calibri"/>
              </a:rPr>
              <a:pPr algn="ctr"/>
              <a:t>7943000</a:t>
            </a:fld>
            <a:endParaRPr lang="en-IN" sz="1600"/>
          </a:p>
        </xdr:txBody>
      </xdr:sp>
    </xdr:grpSp>
    <xdr:clientData/>
  </xdr:twoCellAnchor>
  <xdr:twoCellAnchor>
    <xdr:from>
      <xdr:col>0</xdr:col>
      <xdr:colOff>12700</xdr:colOff>
      <xdr:row>20</xdr:row>
      <xdr:rowOff>57150</xdr:rowOff>
    </xdr:from>
    <xdr:to>
      <xdr:col>3</xdr:col>
      <xdr:colOff>463550</xdr:colOff>
      <xdr:row>25</xdr:row>
      <xdr:rowOff>108400</xdr:rowOff>
    </xdr:to>
    <xdr:grpSp>
      <xdr:nvGrpSpPr>
        <xdr:cNvPr id="13" name="Group 12">
          <a:extLst>
            <a:ext uri="{FF2B5EF4-FFF2-40B4-BE49-F238E27FC236}">
              <a16:creationId xmlns:a16="http://schemas.microsoft.com/office/drawing/2014/main" id="{A14EB3F0-E4E8-4D05-B21C-57B50A8F0D87}"/>
            </a:ext>
          </a:extLst>
        </xdr:cNvPr>
        <xdr:cNvGrpSpPr/>
      </xdr:nvGrpSpPr>
      <xdr:grpSpPr>
        <a:xfrm>
          <a:off x="12700" y="3740150"/>
          <a:ext cx="2279650" cy="972000"/>
          <a:chOff x="247650" y="723900"/>
          <a:chExt cx="2870200" cy="1130300"/>
        </a:xfrm>
      </xdr:grpSpPr>
      <xdr:grpSp>
        <xdr:nvGrpSpPr>
          <xdr:cNvPr id="14" name="Group 13">
            <a:extLst>
              <a:ext uri="{FF2B5EF4-FFF2-40B4-BE49-F238E27FC236}">
                <a16:creationId xmlns:a16="http://schemas.microsoft.com/office/drawing/2014/main" id="{96964BBA-A93D-21BE-4B39-F0843E0B5FCB}"/>
              </a:ext>
            </a:extLst>
          </xdr:cNvPr>
          <xdr:cNvGrpSpPr/>
        </xdr:nvGrpSpPr>
        <xdr:grpSpPr>
          <a:xfrm>
            <a:off x="247650" y="723900"/>
            <a:ext cx="2870200" cy="1130300"/>
            <a:chOff x="260350" y="749300"/>
            <a:chExt cx="2870200" cy="1130300"/>
          </a:xfrm>
        </xdr:grpSpPr>
        <xdr:sp macro="" textlink="">
          <xdr:nvSpPr>
            <xdr:cNvPr id="16" name="Rectangle: Rounded Corners 15">
              <a:extLst>
                <a:ext uri="{FF2B5EF4-FFF2-40B4-BE49-F238E27FC236}">
                  <a16:creationId xmlns:a16="http://schemas.microsoft.com/office/drawing/2014/main" id="{4D4007DD-60E5-2A94-CF5F-CB91B968B01A}"/>
                </a:ext>
              </a:extLst>
            </xdr:cNvPr>
            <xdr:cNvSpPr/>
          </xdr:nvSpPr>
          <xdr:spPr>
            <a:xfrm>
              <a:off x="260350" y="749300"/>
              <a:ext cx="2870200" cy="1130300"/>
            </a:xfrm>
            <a:prstGeom prst="roundRect">
              <a:avLst/>
            </a:prstGeom>
            <a:solidFill>
              <a:schemeClr val="accent1">
                <a:lumMod val="7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Rectangle: Rounded Corners 16">
              <a:extLst>
                <a:ext uri="{FF2B5EF4-FFF2-40B4-BE49-F238E27FC236}">
                  <a16:creationId xmlns:a16="http://schemas.microsoft.com/office/drawing/2014/main" id="{972F3F14-7D29-3A88-1E9D-2F75833C9972}"/>
                </a:ext>
              </a:extLst>
            </xdr:cNvPr>
            <xdr:cNvSpPr/>
          </xdr:nvSpPr>
          <xdr:spPr>
            <a:xfrm>
              <a:off x="342900" y="787400"/>
              <a:ext cx="2692400" cy="508000"/>
            </a:xfrm>
            <a:prstGeom prst="roundRect">
              <a:avLst/>
            </a:prstGeom>
            <a:solidFill>
              <a:schemeClr val="accent1">
                <a:lumMod val="40000"/>
                <a:lumOff val="6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ysClr val="windowText" lastClr="000000"/>
                  </a:solidFill>
                  <a:latin typeface="Times New Roman" panose="02020603050405020304" pitchFamily="18" charset="0"/>
                  <a:cs typeface="Times New Roman" panose="02020603050405020304" pitchFamily="18" charset="0"/>
                </a:rPr>
                <a:t>COUNT AREA</a:t>
              </a:r>
            </a:p>
          </xdr:txBody>
        </xdr:sp>
      </xdr:grpSp>
      <xdr:sp macro="" textlink="'KPI CARD'!B7">
        <xdr:nvSpPr>
          <xdr:cNvPr id="15" name="Rectangle: Rounded Corners 14">
            <a:extLst>
              <a:ext uri="{FF2B5EF4-FFF2-40B4-BE49-F238E27FC236}">
                <a16:creationId xmlns:a16="http://schemas.microsoft.com/office/drawing/2014/main" id="{54F82326-345D-F71A-D26A-70D3ACEBA00B}"/>
              </a:ext>
            </a:extLst>
          </xdr:cNvPr>
          <xdr:cNvSpPr/>
        </xdr:nvSpPr>
        <xdr:spPr>
          <a:xfrm>
            <a:off x="336550" y="1320800"/>
            <a:ext cx="2692400" cy="508000"/>
          </a:xfrm>
          <a:prstGeom prst="roundRect">
            <a:avLst/>
          </a:prstGeom>
          <a:solidFill>
            <a:schemeClr val="accent1">
              <a:lumMod val="40000"/>
              <a:lumOff val="6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49672EB-4AF8-4CB7-95FE-8F72CF72A803}" type="TxLink">
              <a:rPr lang="en-US" sz="1600" b="0" i="0" u="none" strike="noStrike">
                <a:solidFill>
                  <a:srgbClr val="000000"/>
                </a:solidFill>
                <a:latin typeface="Calibri"/>
                <a:cs typeface="Calibri"/>
              </a:rPr>
              <a:pPr algn="ctr"/>
              <a:t>195</a:t>
            </a:fld>
            <a:endParaRPr lang="en-IN" sz="1600"/>
          </a:p>
        </xdr:txBody>
      </xdr:sp>
    </xdr:grpSp>
    <xdr:clientData/>
  </xdr:twoCellAnchor>
  <xdr:twoCellAnchor>
    <xdr:from>
      <xdr:col>0</xdr:col>
      <xdr:colOff>0</xdr:colOff>
      <xdr:row>9</xdr:row>
      <xdr:rowOff>50800</xdr:rowOff>
    </xdr:from>
    <xdr:to>
      <xdr:col>3</xdr:col>
      <xdr:colOff>463550</xdr:colOff>
      <xdr:row>14</xdr:row>
      <xdr:rowOff>102050</xdr:rowOff>
    </xdr:to>
    <xdr:grpSp>
      <xdr:nvGrpSpPr>
        <xdr:cNvPr id="18" name="Group 17">
          <a:extLst>
            <a:ext uri="{FF2B5EF4-FFF2-40B4-BE49-F238E27FC236}">
              <a16:creationId xmlns:a16="http://schemas.microsoft.com/office/drawing/2014/main" id="{61A9D65B-92BF-4352-B9E6-298ECF3EF203}"/>
            </a:ext>
          </a:extLst>
        </xdr:cNvPr>
        <xdr:cNvGrpSpPr/>
      </xdr:nvGrpSpPr>
      <xdr:grpSpPr>
        <a:xfrm>
          <a:off x="0" y="1708150"/>
          <a:ext cx="2292350" cy="972000"/>
          <a:chOff x="247650" y="723900"/>
          <a:chExt cx="2870200" cy="1130300"/>
        </a:xfrm>
      </xdr:grpSpPr>
      <xdr:grpSp>
        <xdr:nvGrpSpPr>
          <xdr:cNvPr id="19" name="Group 18">
            <a:extLst>
              <a:ext uri="{FF2B5EF4-FFF2-40B4-BE49-F238E27FC236}">
                <a16:creationId xmlns:a16="http://schemas.microsoft.com/office/drawing/2014/main" id="{9BB3A613-E63A-4DAA-EEB2-DB68ECA0C1AC}"/>
              </a:ext>
            </a:extLst>
          </xdr:cNvPr>
          <xdr:cNvGrpSpPr/>
        </xdr:nvGrpSpPr>
        <xdr:grpSpPr>
          <a:xfrm>
            <a:off x="247650" y="723900"/>
            <a:ext cx="2870200" cy="1130300"/>
            <a:chOff x="260350" y="749300"/>
            <a:chExt cx="2870200" cy="1130300"/>
          </a:xfrm>
        </xdr:grpSpPr>
        <xdr:sp macro="" textlink="">
          <xdr:nvSpPr>
            <xdr:cNvPr id="21" name="Rectangle: Rounded Corners 20">
              <a:extLst>
                <a:ext uri="{FF2B5EF4-FFF2-40B4-BE49-F238E27FC236}">
                  <a16:creationId xmlns:a16="http://schemas.microsoft.com/office/drawing/2014/main" id="{E85139BC-7538-3ED8-530F-C2A5BA73D677}"/>
                </a:ext>
              </a:extLst>
            </xdr:cNvPr>
            <xdr:cNvSpPr/>
          </xdr:nvSpPr>
          <xdr:spPr>
            <a:xfrm>
              <a:off x="260350" y="749300"/>
              <a:ext cx="2870200" cy="1130300"/>
            </a:xfrm>
            <a:prstGeom prst="roundRect">
              <a:avLst/>
            </a:prstGeom>
            <a:solidFill>
              <a:schemeClr val="accent1">
                <a:lumMod val="7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2" name="Rectangle: Rounded Corners 21">
              <a:extLst>
                <a:ext uri="{FF2B5EF4-FFF2-40B4-BE49-F238E27FC236}">
                  <a16:creationId xmlns:a16="http://schemas.microsoft.com/office/drawing/2014/main" id="{C44AEEBB-BA00-D0D8-ECEB-6B3A6954CED9}"/>
                </a:ext>
              </a:extLst>
            </xdr:cNvPr>
            <xdr:cNvSpPr/>
          </xdr:nvSpPr>
          <xdr:spPr>
            <a:xfrm>
              <a:off x="342900" y="787400"/>
              <a:ext cx="2692400" cy="508000"/>
            </a:xfrm>
            <a:prstGeom prst="roundRect">
              <a:avLst/>
            </a:prstGeom>
            <a:solidFill>
              <a:schemeClr val="accent1">
                <a:lumMod val="40000"/>
                <a:lumOff val="6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ysClr val="windowText" lastClr="000000"/>
                  </a:solidFill>
                  <a:latin typeface="Times New Roman" panose="02020603050405020304" pitchFamily="18" charset="0"/>
                  <a:cs typeface="Times New Roman" panose="02020603050405020304" pitchFamily="18" charset="0"/>
                </a:rPr>
                <a:t>PERCENTAGE</a:t>
              </a:r>
              <a:r>
                <a:rPr lang="en-IN" sz="1600" baseline="0">
                  <a:solidFill>
                    <a:sysClr val="windowText" lastClr="000000"/>
                  </a:solidFill>
                  <a:latin typeface="Times New Roman" panose="02020603050405020304" pitchFamily="18" charset="0"/>
                  <a:cs typeface="Times New Roman" panose="02020603050405020304" pitchFamily="18" charset="0"/>
                </a:rPr>
                <a:t> COVRAGE</a:t>
              </a:r>
              <a:endParaRPr lang="en-IN" sz="1600">
                <a:solidFill>
                  <a:sysClr val="windowText" lastClr="000000"/>
                </a:solidFill>
                <a:latin typeface="Times New Roman" panose="02020603050405020304" pitchFamily="18" charset="0"/>
                <a:cs typeface="Times New Roman" panose="02020603050405020304" pitchFamily="18" charset="0"/>
              </a:endParaRPr>
            </a:p>
          </xdr:txBody>
        </xdr:sp>
      </xdr:grpSp>
      <xdr:sp macro="" textlink="'KPI CARD'!C7">
        <xdr:nvSpPr>
          <xdr:cNvPr id="20" name="Rectangle: Rounded Corners 19">
            <a:extLst>
              <a:ext uri="{FF2B5EF4-FFF2-40B4-BE49-F238E27FC236}">
                <a16:creationId xmlns:a16="http://schemas.microsoft.com/office/drawing/2014/main" id="{87BD297D-D8AE-FBA4-6113-50C52B682291}"/>
              </a:ext>
            </a:extLst>
          </xdr:cNvPr>
          <xdr:cNvSpPr/>
        </xdr:nvSpPr>
        <xdr:spPr>
          <a:xfrm>
            <a:off x="336550" y="1320800"/>
            <a:ext cx="2692400" cy="508000"/>
          </a:xfrm>
          <a:prstGeom prst="roundRect">
            <a:avLst/>
          </a:prstGeom>
          <a:solidFill>
            <a:schemeClr val="accent1">
              <a:lumMod val="40000"/>
              <a:lumOff val="6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3745D3F-1EE6-4F71-9B66-C957CCC1C796}" type="TxLink">
              <a:rPr lang="en-US" sz="1600" b="0" i="0" u="none" strike="noStrike">
                <a:solidFill>
                  <a:srgbClr val="000000"/>
                </a:solidFill>
                <a:latin typeface="Calibri"/>
                <a:cs typeface="Calibri"/>
              </a:rPr>
              <a:pPr algn="ctr"/>
              <a:t>59%</a:t>
            </a:fld>
            <a:endParaRPr lang="en-IN" sz="1100"/>
          </a:p>
        </xdr:txBody>
      </xdr:sp>
    </xdr:grpSp>
    <xdr:clientData/>
  </xdr:twoCellAnchor>
  <xdr:twoCellAnchor>
    <xdr:from>
      <xdr:col>9</xdr:col>
      <xdr:colOff>336550</xdr:colOff>
      <xdr:row>3</xdr:row>
      <xdr:rowOff>133350</xdr:rowOff>
    </xdr:from>
    <xdr:to>
      <xdr:col>15</xdr:col>
      <xdr:colOff>69850</xdr:colOff>
      <xdr:row>13</xdr:row>
      <xdr:rowOff>114300</xdr:rowOff>
    </xdr:to>
    <xdr:graphicFrame macro="">
      <xdr:nvGraphicFramePr>
        <xdr:cNvPr id="23" name="Chart 22">
          <a:extLst>
            <a:ext uri="{FF2B5EF4-FFF2-40B4-BE49-F238E27FC236}">
              <a16:creationId xmlns:a16="http://schemas.microsoft.com/office/drawing/2014/main" id="{B1E226F7-283F-4F29-89E5-3965E16C1C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476250</xdr:colOff>
      <xdr:row>13</xdr:row>
      <xdr:rowOff>101600</xdr:rowOff>
    </xdr:from>
    <xdr:to>
      <xdr:col>9</xdr:col>
      <xdr:colOff>323850</xdr:colOff>
      <xdr:row>25</xdr:row>
      <xdr:rowOff>95250</xdr:rowOff>
    </xdr:to>
    <xdr:graphicFrame macro="">
      <xdr:nvGraphicFramePr>
        <xdr:cNvPr id="24" name="Chart 23">
          <a:extLst>
            <a:ext uri="{FF2B5EF4-FFF2-40B4-BE49-F238E27FC236}">
              <a16:creationId xmlns:a16="http://schemas.microsoft.com/office/drawing/2014/main" id="{AD06C075-1823-4C40-ABF5-199054BD70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476250</xdr:colOff>
      <xdr:row>3</xdr:row>
      <xdr:rowOff>114300</xdr:rowOff>
    </xdr:from>
    <xdr:to>
      <xdr:col>9</xdr:col>
      <xdr:colOff>317500</xdr:colOff>
      <xdr:row>13</xdr:row>
      <xdr:rowOff>95250</xdr:rowOff>
    </xdr:to>
    <xdr:graphicFrame macro="">
      <xdr:nvGraphicFramePr>
        <xdr:cNvPr id="25" name="Chart 24">
          <a:extLst>
            <a:ext uri="{FF2B5EF4-FFF2-40B4-BE49-F238E27FC236}">
              <a16:creationId xmlns:a16="http://schemas.microsoft.com/office/drawing/2014/main" id="{D9676A0E-743F-48CF-9E30-8DD707FD0F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336550</xdr:colOff>
      <xdr:row>13</xdr:row>
      <xdr:rowOff>127000</xdr:rowOff>
    </xdr:from>
    <xdr:to>
      <xdr:col>15</xdr:col>
      <xdr:colOff>50800</xdr:colOff>
      <xdr:row>25</xdr:row>
      <xdr:rowOff>95250</xdr:rowOff>
    </xdr:to>
    <xdr:graphicFrame macro="">
      <xdr:nvGraphicFramePr>
        <xdr:cNvPr id="26" name="Chart 25">
          <a:extLst>
            <a:ext uri="{FF2B5EF4-FFF2-40B4-BE49-F238E27FC236}">
              <a16:creationId xmlns:a16="http://schemas.microsoft.com/office/drawing/2014/main" id="{8FEDF88B-3C4E-4774-8888-F5D919B220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69850</xdr:colOff>
      <xdr:row>3</xdr:row>
      <xdr:rowOff>139700</xdr:rowOff>
    </xdr:from>
    <xdr:to>
      <xdr:col>19</xdr:col>
      <xdr:colOff>19050</xdr:colOff>
      <xdr:row>25</xdr:row>
      <xdr:rowOff>114300</xdr:rowOff>
    </xdr:to>
    <mc:AlternateContent xmlns:mc="http://schemas.openxmlformats.org/markup-compatibility/2006" xmlns:a14="http://schemas.microsoft.com/office/drawing/2010/main">
      <mc:Choice Requires="a14">
        <xdr:graphicFrame macro="">
          <xdr:nvGraphicFramePr>
            <xdr:cNvPr id="27" name="District 1">
              <a:extLst>
                <a:ext uri="{FF2B5EF4-FFF2-40B4-BE49-F238E27FC236}">
                  <a16:creationId xmlns:a16="http://schemas.microsoft.com/office/drawing/2014/main" id="{46C074F3-D7A4-463E-B3DC-E6DDDE182EFF}"/>
                </a:ext>
              </a:extLst>
            </xdr:cNvPr>
            <xdr:cNvGraphicFramePr/>
          </xdr:nvGraphicFramePr>
          <xdr:xfrm>
            <a:off x="0" y="0"/>
            <a:ext cx="0" cy="0"/>
          </xdr:xfrm>
          <a:graphic>
            <a:graphicData uri="http://schemas.microsoft.com/office/drawing/2010/slicer">
              <sle:slicer xmlns:sle="http://schemas.microsoft.com/office/drawing/2010/slicer" name="District 1"/>
            </a:graphicData>
          </a:graphic>
        </xdr:graphicFrame>
      </mc:Choice>
      <mc:Fallback xmlns="">
        <xdr:sp macro="" textlink="">
          <xdr:nvSpPr>
            <xdr:cNvPr id="0" name=""/>
            <xdr:cNvSpPr>
              <a:spLocks noTextEdit="1"/>
            </xdr:cNvSpPr>
          </xdr:nvSpPr>
          <xdr:spPr>
            <a:xfrm>
              <a:off x="9213850" y="692150"/>
              <a:ext cx="2387600" cy="402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48.617081481483" createdVersion="8" refreshedVersion="8" minRefreshableVersion="3" recordCount="195" xr:uid="{39A2DC63-40F1-46A0-A1FA-3FB5CC2E91EA}">
  <cacheSource type="worksheet">
    <worksheetSource ref="A1:J196" sheet="DATA"/>
  </cacheSource>
  <cacheFields count="10">
    <cacheField name="Year" numFmtId="0">
      <sharedItems containsSemiMixedTypes="0" containsString="0" containsNumber="1" containsInteger="1" minValue="2020" maxValue="2026" count="7">
        <n v="2020"/>
        <n v="2021"/>
        <n v="2022"/>
        <n v="2023"/>
        <n v="2024"/>
        <n v="2025"/>
        <n v="2026"/>
      </sharedItems>
    </cacheField>
    <cacheField name="Month" numFmtId="0">
      <sharedItems count="12">
        <s v="Jan"/>
        <s v="Feb"/>
        <s v="Mar"/>
        <s v="Apr"/>
        <s v="May"/>
        <s v="Jun"/>
        <s v="Jul"/>
        <s v="Aug"/>
        <s v="Sep"/>
        <s v="Oct"/>
        <s v="Nov"/>
        <s v="Dec"/>
      </sharedItems>
    </cacheField>
    <cacheField name="District" numFmtId="0">
      <sharedItems count="24">
        <s v="Bhopal"/>
        <s v="Indore"/>
        <s v="Jabalpur"/>
        <s v="Gwalior"/>
        <s v="Ujjain"/>
        <s v="Sagar"/>
        <s v="Rewa"/>
        <s v="Satna"/>
        <s v="Chhindwara"/>
        <s v="Ratlam"/>
        <s v="Khandwa"/>
        <s v="Betul"/>
        <s v="Damoh"/>
        <s v="Sehore"/>
        <s v="Shivpuri"/>
        <s v="Vidisha"/>
        <s v="Dewas"/>
        <s v="Hoshangabad"/>
        <s v="Mandsaur"/>
        <s v="Neemuch"/>
        <s v="Barwani"/>
        <s v="Khargone"/>
        <s v="Burhanpur"/>
        <s v="Alirajpur"/>
      </sharedItems>
    </cacheField>
    <cacheField name="Total_Schemes" numFmtId="0">
      <sharedItems containsSemiMixedTypes="0" containsString="0" containsNumber="1" containsInteger="1" minValue="23" maxValue="137"/>
    </cacheField>
    <cacheField name="SVS" numFmtId="0">
      <sharedItems containsSemiMixedTypes="0" containsString="0" containsNumber="1" containsInteger="1" minValue="17" maxValue="85"/>
    </cacheField>
    <cacheField name="MVS" numFmtId="0">
      <sharedItems containsSemiMixedTypes="0" containsString="0" containsNumber="1" containsInteger="1" minValue="6" maxValue="52"/>
    </cacheField>
    <cacheField name="FHTC_Total" numFmtId="0">
      <sharedItems containsSemiMixedTypes="0" containsString="0" containsNumber="1" containsInteger="1" minValue="32000" maxValue="110000"/>
    </cacheField>
    <cacheField name="FHTC_Provided" numFmtId="0">
      <sharedItems containsSemiMixedTypes="0" containsString="0" containsNumber="1" containsInteger="1" minValue="10500" maxValue="85000"/>
    </cacheField>
    <cacheField name="Percentage_Coverage" numFmtId="9">
      <sharedItems containsSemiMixedTypes="0" containsString="0" containsNumber="1" minValue="0.328125" maxValue="0.80722891566265065"/>
    </cacheField>
    <cacheField name="Source_Type" numFmtId="0">
      <sharedItems count="2">
        <s v="Surface"/>
        <s v="Groundwater"/>
      </sharedItems>
    </cacheField>
  </cacheFields>
  <extLst>
    <ext xmlns:x14="http://schemas.microsoft.com/office/spreadsheetml/2009/9/main" uri="{725AE2AE-9491-48be-B2B4-4EB974FC3084}">
      <x14:pivotCacheDefinition pivotCacheId="17215245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5">
  <r>
    <x v="0"/>
    <x v="0"/>
    <x v="0"/>
    <n v="28"/>
    <n v="20"/>
    <n v="8"/>
    <n v="35000"/>
    <n v="12000"/>
    <n v="0.34285714285714286"/>
    <x v="0"/>
  </r>
  <r>
    <x v="0"/>
    <x v="1"/>
    <x v="1"/>
    <n v="31"/>
    <n v="22"/>
    <n v="9"/>
    <n v="36000"/>
    <n v="13000"/>
    <n v="0.3611111111111111"/>
    <x v="1"/>
  </r>
  <r>
    <x v="0"/>
    <x v="2"/>
    <x v="2"/>
    <n v="35"/>
    <n v="25"/>
    <n v="10"/>
    <n v="38000"/>
    <n v="14000"/>
    <n v="0.36842105263157893"/>
    <x v="0"/>
  </r>
  <r>
    <x v="0"/>
    <x v="3"/>
    <x v="3"/>
    <n v="32"/>
    <n v="23"/>
    <n v="9"/>
    <n v="37000"/>
    <n v="13500"/>
    <n v="0.36486486486486486"/>
    <x v="1"/>
  </r>
  <r>
    <x v="0"/>
    <x v="4"/>
    <x v="4"/>
    <n v="29"/>
    <n v="21"/>
    <n v="8"/>
    <n v="36000"/>
    <n v="12500"/>
    <n v="0.34722222222222221"/>
    <x v="0"/>
  </r>
  <r>
    <x v="0"/>
    <x v="5"/>
    <x v="5"/>
    <n v="27"/>
    <n v="20"/>
    <n v="7"/>
    <n v="35000"/>
    <n v="12000"/>
    <n v="0.34285714285714286"/>
    <x v="1"/>
  </r>
  <r>
    <x v="0"/>
    <x v="6"/>
    <x v="6"/>
    <n v="26"/>
    <n v="19"/>
    <n v="7"/>
    <n v="34000"/>
    <n v="11500"/>
    <n v="0.33823529411764708"/>
    <x v="0"/>
  </r>
  <r>
    <x v="0"/>
    <x v="7"/>
    <x v="7"/>
    <n v="28"/>
    <n v="20"/>
    <n v="8"/>
    <n v="35000"/>
    <n v="12000"/>
    <n v="0.34285714285714286"/>
    <x v="1"/>
  </r>
  <r>
    <x v="0"/>
    <x v="8"/>
    <x v="8"/>
    <n v="31"/>
    <n v="22"/>
    <n v="9"/>
    <n v="36000"/>
    <n v="13000"/>
    <n v="0.3611111111111111"/>
    <x v="0"/>
  </r>
  <r>
    <x v="0"/>
    <x v="9"/>
    <x v="9"/>
    <n v="25"/>
    <n v="18"/>
    <n v="7"/>
    <n v="33000"/>
    <n v="11000"/>
    <n v="0.33333333333333331"/>
    <x v="1"/>
  </r>
  <r>
    <x v="0"/>
    <x v="10"/>
    <x v="10"/>
    <n v="23"/>
    <n v="17"/>
    <n v="6"/>
    <n v="32000"/>
    <n v="10500"/>
    <n v="0.328125"/>
    <x v="0"/>
  </r>
  <r>
    <x v="0"/>
    <x v="11"/>
    <x v="11"/>
    <n v="25"/>
    <n v="18"/>
    <n v="7"/>
    <n v="33000"/>
    <n v="11000"/>
    <n v="0.33333333333333331"/>
    <x v="1"/>
  </r>
  <r>
    <x v="1"/>
    <x v="0"/>
    <x v="0"/>
    <n v="40"/>
    <n v="28"/>
    <n v="12"/>
    <n v="40000"/>
    <n v="18000"/>
    <n v="0.45"/>
    <x v="0"/>
  </r>
  <r>
    <x v="1"/>
    <x v="1"/>
    <x v="1"/>
    <n v="44"/>
    <n v="30"/>
    <n v="14"/>
    <n v="42000"/>
    <n v="20000"/>
    <n v="0.47619047619047616"/>
    <x v="1"/>
  </r>
  <r>
    <x v="1"/>
    <x v="2"/>
    <x v="2"/>
    <n v="51"/>
    <n v="35"/>
    <n v="16"/>
    <n v="45000"/>
    <n v="22000"/>
    <n v="0.48888888888888887"/>
    <x v="0"/>
  </r>
  <r>
    <x v="1"/>
    <x v="3"/>
    <x v="3"/>
    <n v="48"/>
    <n v="33"/>
    <n v="15"/>
    <n v="44000"/>
    <n v="21000"/>
    <n v="0.47727272727272729"/>
    <x v="1"/>
  </r>
  <r>
    <x v="1"/>
    <x v="4"/>
    <x v="4"/>
    <n v="43"/>
    <n v="30"/>
    <n v="13"/>
    <n v="43000"/>
    <n v="19500"/>
    <n v="0.45348837209302323"/>
    <x v="0"/>
  </r>
  <r>
    <x v="1"/>
    <x v="5"/>
    <x v="5"/>
    <n v="40"/>
    <n v="28"/>
    <n v="12"/>
    <n v="42000"/>
    <n v="18000"/>
    <n v="0.42857142857142855"/>
    <x v="1"/>
  </r>
  <r>
    <x v="1"/>
    <x v="6"/>
    <x v="6"/>
    <n v="38"/>
    <n v="27"/>
    <n v="11"/>
    <n v="41000"/>
    <n v="17000"/>
    <n v="0.41463414634146339"/>
    <x v="0"/>
  </r>
  <r>
    <x v="1"/>
    <x v="7"/>
    <x v="7"/>
    <n v="41"/>
    <n v="29"/>
    <n v="12"/>
    <n v="42000"/>
    <n v="18000"/>
    <n v="0.42857142857142855"/>
    <x v="1"/>
  </r>
  <r>
    <x v="1"/>
    <x v="8"/>
    <x v="8"/>
    <n v="45"/>
    <n v="31"/>
    <n v="14"/>
    <n v="43000"/>
    <n v="20000"/>
    <n v="0.46511627906976744"/>
    <x v="0"/>
  </r>
  <r>
    <x v="1"/>
    <x v="9"/>
    <x v="9"/>
    <n v="35"/>
    <n v="25"/>
    <n v="10"/>
    <n v="39000"/>
    <n v="16000"/>
    <n v="0.41025641025641024"/>
    <x v="1"/>
  </r>
  <r>
    <x v="1"/>
    <x v="10"/>
    <x v="10"/>
    <n v="33"/>
    <n v="24"/>
    <n v="9"/>
    <n v="38000"/>
    <n v="15000"/>
    <n v="0.39473684210526316"/>
    <x v="0"/>
  </r>
  <r>
    <x v="1"/>
    <x v="11"/>
    <x v="11"/>
    <n v="37"/>
    <n v="26"/>
    <n v="11"/>
    <n v="40000"/>
    <n v="16500"/>
    <n v="0.41249999999999998"/>
    <x v="1"/>
  </r>
  <r>
    <x v="2"/>
    <x v="0"/>
    <x v="0"/>
    <n v="60"/>
    <n v="40"/>
    <n v="20"/>
    <n v="50000"/>
    <n v="30000"/>
    <n v="0.6"/>
    <x v="0"/>
  </r>
  <r>
    <x v="2"/>
    <x v="1"/>
    <x v="1"/>
    <n v="64"/>
    <n v="42"/>
    <n v="22"/>
    <n v="52000"/>
    <n v="32000"/>
    <n v="0.61538461538461542"/>
    <x v="1"/>
  </r>
  <r>
    <x v="2"/>
    <x v="2"/>
    <x v="2"/>
    <n v="70"/>
    <n v="45"/>
    <n v="25"/>
    <n v="55000"/>
    <n v="35000"/>
    <n v="0.63636363636363635"/>
    <x v="0"/>
  </r>
  <r>
    <x v="2"/>
    <x v="3"/>
    <x v="3"/>
    <n v="66"/>
    <n v="43"/>
    <n v="23"/>
    <n v="54000"/>
    <n v="33000"/>
    <n v="0.61111111111111116"/>
    <x v="1"/>
  </r>
  <r>
    <x v="2"/>
    <x v="4"/>
    <x v="4"/>
    <n v="62"/>
    <n v="41"/>
    <n v="21"/>
    <n v="53000"/>
    <n v="31000"/>
    <n v="0.58490566037735847"/>
    <x v="0"/>
  </r>
  <r>
    <x v="2"/>
    <x v="5"/>
    <x v="5"/>
    <n v="58"/>
    <n v="39"/>
    <n v="19"/>
    <n v="52000"/>
    <n v="29000"/>
    <n v="0.55769230769230771"/>
    <x v="1"/>
  </r>
  <r>
    <x v="2"/>
    <x v="6"/>
    <x v="6"/>
    <n v="56"/>
    <n v="38"/>
    <n v="18"/>
    <n v="51000"/>
    <n v="28000"/>
    <n v="0.5490196078431373"/>
    <x v="0"/>
  </r>
  <r>
    <x v="2"/>
    <x v="7"/>
    <x v="7"/>
    <n v="60"/>
    <n v="40"/>
    <n v="20"/>
    <n v="52000"/>
    <n v="30000"/>
    <n v="0.57692307692307687"/>
    <x v="1"/>
  </r>
  <r>
    <x v="2"/>
    <x v="8"/>
    <x v="8"/>
    <n v="64"/>
    <n v="42"/>
    <n v="22"/>
    <n v="53000"/>
    <n v="32000"/>
    <n v="0.60377358490566035"/>
    <x v="0"/>
  </r>
  <r>
    <x v="2"/>
    <x v="9"/>
    <x v="9"/>
    <n v="52"/>
    <n v="35"/>
    <n v="17"/>
    <n v="48000"/>
    <n v="26000"/>
    <n v="0.54166666666666663"/>
    <x v="1"/>
  </r>
  <r>
    <x v="2"/>
    <x v="10"/>
    <x v="10"/>
    <n v="50"/>
    <n v="34"/>
    <n v="16"/>
    <n v="47000"/>
    <n v="25000"/>
    <n v="0.53191489361702127"/>
    <x v="0"/>
  </r>
  <r>
    <x v="2"/>
    <x v="11"/>
    <x v="11"/>
    <n v="54"/>
    <n v="36"/>
    <n v="18"/>
    <n v="49000"/>
    <n v="27000"/>
    <n v="0.55102040816326525"/>
    <x v="1"/>
  </r>
  <r>
    <x v="3"/>
    <x v="0"/>
    <x v="0"/>
    <n v="80"/>
    <n v="52"/>
    <n v="28"/>
    <n v="60000"/>
    <n v="42000"/>
    <n v="0.7"/>
    <x v="0"/>
  </r>
  <r>
    <x v="3"/>
    <x v="1"/>
    <x v="1"/>
    <n v="90"/>
    <n v="58"/>
    <n v="32"/>
    <n v="65000"/>
    <n v="48000"/>
    <n v="0.7384615384615385"/>
    <x v="1"/>
  </r>
  <r>
    <x v="3"/>
    <x v="2"/>
    <x v="2"/>
    <n v="110"/>
    <n v="70"/>
    <n v="40"/>
    <n v="95000"/>
    <n v="65000"/>
    <n v="0.68421052631578949"/>
    <x v="0"/>
  </r>
  <r>
    <x v="3"/>
    <x v="3"/>
    <x v="3"/>
    <n v="95"/>
    <n v="60"/>
    <n v="35"/>
    <n v="90000"/>
    <n v="58000"/>
    <n v="0.64444444444444449"/>
    <x v="1"/>
  </r>
  <r>
    <x v="3"/>
    <x v="4"/>
    <x v="4"/>
    <n v="85"/>
    <n v="55"/>
    <n v="30"/>
    <n v="78000"/>
    <n v="50000"/>
    <n v="0.64102564102564108"/>
    <x v="0"/>
  </r>
  <r>
    <x v="3"/>
    <x v="5"/>
    <x v="5"/>
    <n v="75"/>
    <n v="50"/>
    <n v="25"/>
    <n v="70000"/>
    <n v="42000"/>
    <n v="0.6"/>
    <x v="1"/>
  </r>
  <r>
    <x v="3"/>
    <x v="6"/>
    <x v="6"/>
    <n v="70"/>
    <n v="48"/>
    <n v="22"/>
    <n v="68000"/>
    <n v="39000"/>
    <n v="0.57352941176470584"/>
    <x v="0"/>
  </r>
  <r>
    <x v="3"/>
    <x v="7"/>
    <x v="7"/>
    <n v="69"/>
    <n v="45"/>
    <n v="24"/>
    <n v="72000"/>
    <n v="41000"/>
    <n v="0.56944444444444442"/>
    <x v="1"/>
  </r>
  <r>
    <x v="3"/>
    <x v="8"/>
    <x v="8"/>
    <n v="80"/>
    <n v="53"/>
    <n v="27"/>
    <n v="75000"/>
    <n v="47000"/>
    <n v="0.62666666666666671"/>
    <x v="0"/>
  </r>
  <r>
    <x v="3"/>
    <x v="9"/>
    <x v="9"/>
    <n v="60"/>
    <n v="40"/>
    <n v="20"/>
    <n v="60000"/>
    <n v="35000"/>
    <n v="0.58333333333333337"/>
    <x v="1"/>
  </r>
  <r>
    <x v="3"/>
    <x v="10"/>
    <x v="10"/>
    <n v="56"/>
    <n v="38"/>
    <n v="18"/>
    <n v="55000"/>
    <n v="30000"/>
    <n v="0.54545454545454541"/>
    <x v="0"/>
  </r>
  <r>
    <x v="3"/>
    <x v="11"/>
    <x v="11"/>
    <n v="63"/>
    <n v="42"/>
    <n v="21"/>
    <n v="62000"/>
    <n v="36000"/>
    <n v="0.58064516129032262"/>
    <x v="1"/>
  </r>
  <r>
    <x v="4"/>
    <x v="0"/>
    <x v="0"/>
    <n v="93"/>
    <n v="60"/>
    <n v="33"/>
    <n v="70000"/>
    <n v="52000"/>
    <n v="0.74285714285714288"/>
    <x v="0"/>
  </r>
  <r>
    <x v="4"/>
    <x v="1"/>
    <x v="1"/>
    <n v="101"/>
    <n v="65"/>
    <n v="36"/>
    <n v="78000"/>
    <n v="60000"/>
    <n v="0.76923076923076927"/>
    <x v="1"/>
  </r>
  <r>
    <x v="4"/>
    <x v="2"/>
    <x v="2"/>
    <n v="120"/>
    <n v="75"/>
    <n v="45"/>
    <n v="100000"/>
    <n v="72000"/>
    <n v="0.72"/>
    <x v="0"/>
  </r>
  <r>
    <x v="4"/>
    <x v="3"/>
    <x v="3"/>
    <n v="106"/>
    <n v="68"/>
    <n v="38"/>
    <n v="92000"/>
    <n v="65000"/>
    <n v="0.70652173913043481"/>
    <x v="1"/>
  </r>
  <r>
    <x v="4"/>
    <x v="4"/>
    <x v="4"/>
    <n v="96"/>
    <n v="62"/>
    <n v="34"/>
    <n v="85000"/>
    <n v="59000"/>
    <n v="0.69411764705882351"/>
    <x v="0"/>
  </r>
  <r>
    <x v="4"/>
    <x v="5"/>
    <x v="5"/>
    <n v="84"/>
    <n v="55"/>
    <n v="29"/>
    <n v="78000"/>
    <n v="50000"/>
    <n v="0.64102564102564108"/>
    <x v="1"/>
  </r>
  <r>
    <x v="4"/>
    <x v="6"/>
    <x v="6"/>
    <n v="80"/>
    <n v="53"/>
    <n v="27"/>
    <n v="76000"/>
    <n v="48000"/>
    <n v="0.63157894736842102"/>
    <x v="0"/>
  </r>
  <r>
    <x v="4"/>
    <x v="7"/>
    <x v="7"/>
    <n v="82"/>
    <n v="54"/>
    <n v="28"/>
    <n v="77000"/>
    <n v="49000"/>
    <n v="0.63636363636363635"/>
    <x v="1"/>
  </r>
  <r>
    <x v="4"/>
    <x v="8"/>
    <x v="8"/>
    <n v="89"/>
    <n v="58"/>
    <n v="31"/>
    <n v="80000"/>
    <n v="53000"/>
    <n v="0.66249999999999998"/>
    <x v="0"/>
  </r>
  <r>
    <x v="4"/>
    <x v="9"/>
    <x v="9"/>
    <n v="76"/>
    <n v="50"/>
    <n v="26"/>
    <n v="72000"/>
    <n v="46000"/>
    <n v="0.63888888888888884"/>
    <x v="1"/>
  </r>
  <r>
    <x v="4"/>
    <x v="10"/>
    <x v="10"/>
    <n v="72"/>
    <n v="48"/>
    <n v="24"/>
    <n v="70000"/>
    <n v="44000"/>
    <n v="0.62857142857142856"/>
    <x v="0"/>
  </r>
  <r>
    <x v="4"/>
    <x v="11"/>
    <x v="11"/>
    <n v="74"/>
    <n v="49"/>
    <n v="25"/>
    <n v="71000"/>
    <n v="45000"/>
    <n v="0.63380281690140849"/>
    <x v="1"/>
  </r>
  <r>
    <x v="5"/>
    <x v="0"/>
    <x v="0"/>
    <n v="100"/>
    <n v="65"/>
    <n v="35"/>
    <n v="80000"/>
    <n v="60000"/>
    <n v="0.75"/>
    <x v="0"/>
  </r>
  <r>
    <x v="5"/>
    <x v="1"/>
    <x v="1"/>
    <n v="106"/>
    <n v="68"/>
    <n v="38"/>
    <n v="82000"/>
    <n v="65000"/>
    <n v="0.79268292682926833"/>
    <x v="1"/>
  </r>
  <r>
    <x v="5"/>
    <x v="2"/>
    <x v="2"/>
    <n v="126"/>
    <n v="78"/>
    <n v="48"/>
    <n v="105000"/>
    <n v="78000"/>
    <n v="0.74285714285714288"/>
    <x v="0"/>
  </r>
  <r>
    <x v="5"/>
    <x v="3"/>
    <x v="3"/>
    <n v="110"/>
    <n v="70"/>
    <n v="40"/>
    <n v="95000"/>
    <n v="70000"/>
    <n v="0.73684210526315785"/>
    <x v="1"/>
  </r>
  <r>
    <x v="5"/>
    <x v="4"/>
    <x v="4"/>
    <n v="102"/>
    <n v="66"/>
    <n v="36"/>
    <n v="90000"/>
    <n v="65000"/>
    <n v="0.72222222222222221"/>
    <x v="0"/>
  </r>
  <r>
    <x v="5"/>
    <x v="5"/>
    <x v="5"/>
    <n v="92"/>
    <n v="60"/>
    <n v="32"/>
    <n v="85000"/>
    <n v="58000"/>
    <n v="0.68235294117647061"/>
    <x v="1"/>
  </r>
  <r>
    <x v="5"/>
    <x v="6"/>
    <x v="6"/>
    <n v="88"/>
    <n v="58"/>
    <n v="30"/>
    <n v="83000"/>
    <n v="55000"/>
    <n v="0.66265060240963858"/>
    <x v="0"/>
  </r>
  <r>
    <x v="5"/>
    <x v="7"/>
    <x v="7"/>
    <n v="90"/>
    <n v="59"/>
    <n v="31"/>
    <n v="84000"/>
    <n v="56000"/>
    <n v="0.66666666666666663"/>
    <x v="1"/>
  </r>
  <r>
    <x v="5"/>
    <x v="8"/>
    <x v="8"/>
    <n v="96"/>
    <n v="62"/>
    <n v="34"/>
    <n v="88000"/>
    <n v="60000"/>
    <n v="0.68181818181818177"/>
    <x v="0"/>
  </r>
  <r>
    <x v="5"/>
    <x v="9"/>
    <x v="9"/>
    <n v="84"/>
    <n v="55"/>
    <n v="29"/>
    <n v="80000"/>
    <n v="52000"/>
    <n v="0.65"/>
    <x v="1"/>
  </r>
  <r>
    <x v="5"/>
    <x v="10"/>
    <x v="10"/>
    <n v="80"/>
    <n v="53"/>
    <n v="27"/>
    <n v="78000"/>
    <n v="50000"/>
    <n v="0.64102564102564108"/>
    <x v="0"/>
  </r>
  <r>
    <x v="5"/>
    <x v="11"/>
    <x v="11"/>
    <n v="82"/>
    <n v="54"/>
    <n v="28"/>
    <n v="79000"/>
    <n v="51000"/>
    <n v="0.64556962025316456"/>
    <x v="1"/>
  </r>
  <r>
    <x v="6"/>
    <x v="0"/>
    <x v="0"/>
    <n v="108"/>
    <n v="70"/>
    <n v="38"/>
    <n v="85000"/>
    <n v="65000"/>
    <n v="0.76470588235294112"/>
    <x v="0"/>
  </r>
  <r>
    <x v="6"/>
    <x v="1"/>
    <x v="1"/>
    <n v="116"/>
    <n v="74"/>
    <n v="42"/>
    <n v="88000"/>
    <n v="70000"/>
    <n v="0.79545454545454541"/>
    <x v="1"/>
  </r>
  <r>
    <x v="6"/>
    <x v="2"/>
    <x v="2"/>
    <n v="137"/>
    <n v="85"/>
    <n v="52"/>
    <n v="110000"/>
    <n v="85000"/>
    <n v="0.77272727272727271"/>
    <x v="0"/>
  </r>
  <r>
    <x v="6"/>
    <x v="3"/>
    <x v="3"/>
    <n v="123"/>
    <n v="78"/>
    <n v="45"/>
    <n v="102000"/>
    <n v="78000"/>
    <n v="0.76470588235294112"/>
    <x v="1"/>
  </r>
  <r>
    <x v="6"/>
    <x v="4"/>
    <x v="4"/>
    <n v="112"/>
    <n v="72"/>
    <n v="40"/>
    <n v="95000"/>
    <n v="72000"/>
    <n v="0.75789473684210529"/>
    <x v="0"/>
  </r>
  <r>
    <x v="6"/>
    <x v="5"/>
    <x v="5"/>
    <n v="101"/>
    <n v="65"/>
    <n v="36"/>
    <n v="90000"/>
    <n v="65000"/>
    <n v="0.72222222222222221"/>
    <x v="1"/>
  </r>
  <r>
    <x v="6"/>
    <x v="6"/>
    <x v="6"/>
    <n v="97"/>
    <n v="63"/>
    <n v="34"/>
    <n v="88000"/>
    <n v="62000"/>
    <n v="0.70454545454545459"/>
    <x v="0"/>
  </r>
  <r>
    <x v="6"/>
    <x v="7"/>
    <x v="7"/>
    <n v="99"/>
    <n v="64"/>
    <n v="35"/>
    <n v="89000"/>
    <n v="63000"/>
    <n v="0.7078651685393258"/>
    <x v="1"/>
  </r>
  <r>
    <x v="6"/>
    <x v="8"/>
    <x v="8"/>
    <n v="106"/>
    <n v="68"/>
    <n v="38"/>
    <n v="92000"/>
    <n v="68000"/>
    <n v="0.73913043478260865"/>
    <x v="0"/>
  </r>
  <r>
    <x v="6"/>
    <x v="9"/>
    <x v="9"/>
    <n v="93"/>
    <n v="60"/>
    <n v="33"/>
    <n v="87000"/>
    <n v="60000"/>
    <n v="0.68965517241379315"/>
    <x v="1"/>
  </r>
  <r>
    <x v="6"/>
    <x v="10"/>
    <x v="10"/>
    <n v="89"/>
    <n v="58"/>
    <n v="31"/>
    <n v="85000"/>
    <n v="58000"/>
    <n v="0.68235294117647061"/>
    <x v="0"/>
  </r>
  <r>
    <x v="6"/>
    <x v="11"/>
    <x v="11"/>
    <n v="91"/>
    <n v="59"/>
    <n v="32"/>
    <n v="86000"/>
    <n v="59000"/>
    <n v="0.68604651162790697"/>
    <x v="1"/>
  </r>
  <r>
    <x v="1"/>
    <x v="0"/>
    <x v="0"/>
    <n v="40"/>
    <n v="28"/>
    <n v="12"/>
    <n v="40000"/>
    <n v="18000"/>
    <n v="0.45"/>
    <x v="0"/>
  </r>
  <r>
    <x v="1"/>
    <x v="1"/>
    <x v="1"/>
    <n v="44"/>
    <n v="30"/>
    <n v="14"/>
    <n v="42000"/>
    <n v="20000"/>
    <n v="0.47619047619047616"/>
    <x v="1"/>
  </r>
  <r>
    <x v="1"/>
    <x v="2"/>
    <x v="2"/>
    <n v="51"/>
    <n v="35"/>
    <n v="16"/>
    <n v="45000"/>
    <n v="22000"/>
    <n v="0.48888888888888887"/>
    <x v="0"/>
  </r>
  <r>
    <x v="1"/>
    <x v="3"/>
    <x v="3"/>
    <n v="48"/>
    <n v="33"/>
    <n v="15"/>
    <n v="44000"/>
    <n v="21000"/>
    <n v="0.47727272727272729"/>
    <x v="1"/>
  </r>
  <r>
    <x v="1"/>
    <x v="4"/>
    <x v="4"/>
    <n v="43"/>
    <n v="30"/>
    <n v="13"/>
    <n v="43000"/>
    <n v="19500"/>
    <n v="0.45348837209302323"/>
    <x v="0"/>
  </r>
  <r>
    <x v="1"/>
    <x v="5"/>
    <x v="5"/>
    <n v="40"/>
    <n v="28"/>
    <n v="12"/>
    <n v="42000"/>
    <n v="18000"/>
    <n v="0.42857142857142855"/>
    <x v="1"/>
  </r>
  <r>
    <x v="1"/>
    <x v="6"/>
    <x v="6"/>
    <n v="38"/>
    <n v="27"/>
    <n v="11"/>
    <n v="41000"/>
    <n v="17000"/>
    <n v="0.41463414634146339"/>
    <x v="0"/>
  </r>
  <r>
    <x v="1"/>
    <x v="7"/>
    <x v="7"/>
    <n v="41"/>
    <n v="29"/>
    <n v="12"/>
    <n v="42000"/>
    <n v="18000"/>
    <n v="0.42857142857142855"/>
    <x v="1"/>
  </r>
  <r>
    <x v="1"/>
    <x v="8"/>
    <x v="8"/>
    <n v="45"/>
    <n v="31"/>
    <n v="14"/>
    <n v="43000"/>
    <n v="20000"/>
    <n v="0.46511627906976744"/>
    <x v="0"/>
  </r>
  <r>
    <x v="1"/>
    <x v="9"/>
    <x v="9"/>
    <n v="35"/>
    <n v="25"/>
    <n v="10"/>
    <n v="39000"/>
    <n v="16000"/>
    <n v="0.41025641025641024"/>
    <x v="1"/>
  </r>
  <r>
    <x v="1"/>
    <x v="10"/>
    <x v="10"/>
    <n v="33"/>
    <n v="24"/>
    <n v="9"/>
    <n v="38000"/>
    <n v="15000"/>
    <n v="0.39473684210526316"/>
    <x v="0"/>
  </r>
  <r>
    <x v="1"/>
    <x v="11"/>
    <x v="11"/>
    <n v="37"/>
    <n v="26"/>
    <n v="11"/>
    <n v="40000"/>
    <n v="16500"/>
    <n v="0.41249999999999998"/>
    <x v="1"/>
  </r>
  <r>
    <x v="2"/>
    <x v="0"/>
    <x v="0"/>
    <n v="60"/>
    <n v="40"/>
    <n v="20"/>
    <n v="50000"/>
    <n v="30000"/>
    <n v="0.6"/>
    <x v="0"/>
  </r>
  <r>
    <x v="2"/>
    <x v="1"/>
    <x v="1"/>
    <n v="64"/>
    <n v="42"/>
    <n v="22"/>
    <n v="52000"/>
    <n v="32000"/>
    <n v="0.61538461538461542"/>
    <x v="1"/>
  </r>
  <r>
    <x v="2"/>
    <x v="2"/>
    <x v="2"/>
    <n v="70"/>
    <n v="45"/>
    <n v="25"/>
    <n v="55000"/>
    <n v="35000"/>
    <n v="0.63636363636363635"/>
    <x v="0"/>
  </r>
  <r>
    <x v="2"/>
    <x v="3"/>
    <x v="3"/>
    <n v="66"/>
    <n v="43"/>
    <n v="23"/>
    <n v="54000"/>
    <n v="33000"/>
    <n v="0.61111111111111116"/>
    <x v="1"/>
  </r>
  <r>
    <x v="2"/>
    <x v="4"/>
    <x v="4"/>
    <n v="62"/>
    <n v="41"/>
    <n v="21"/>
    <n v="53000"/>
    <n v="31000"/>
    <n v="0.58490566037735847"/>
    <x v="0"/>
  </r>
  <r>
    <x v="2"/>
    <x v="5"/>
    <x v="5"/>
    <n v="58"/>
    <n v="39"/>
    <n v="19"/>
    <n v="52000"/>
    <n v="29000"/>
    <n v="0.55769230769230771"/>
    <x v="1"/>
  </r>
  <r>
    <x v="2"/>
    <x v="6"/>
    <x v="6"/>
    <n v="56"/>
    <n v="38"/>
    <n v="18"/>
    <n v="51000"/>
    <n v="28000"/>
    <n v="0.5490196078431373"/>
    <x v="0"/>
  </r>
  <r>
    <x v="2"/>
    <x v="7"/>
    <x v="7"/>
    <n v="60"/>
    <n v="40"/>
    <n v="20"/>
    <n v="52000"/>
    <n v="30000"/>
    <n v="0.57692307692307687"/>
    <x v="1"/>
  </r>
  <r>
    <x v="2"/>
    <x v="8"/>
    <x v="8"/>
    <n v="64"/>
    <n v="42"/>
    <n v="22"/>
    <n v="53000"/>
    <n v="32000"/>
    <n v="0.60377358490566035"/>
    <x v="0"/>
  </r>
  <r>
    <x v="2"/>
    <x v="9"/>
    <x v="9"/>
    <n v="52"/>
    <n v="35"/>
    <n v="17"/>
    <n v="48000"/>
    <n v="26000"/>
    <n v="0.54166666666666663"/>
    <x v="1"/>
  </r>
  <r>
    <x v="2"/>
    <x v="10"/>
    <x v="10"/>
    <n v="50"/>
    <n v="34"/>
    <n v="16"/>
    <n v="47000"/>
    <n v="25000"/>
    <n v="0.53191489361702127"/>
    <x v="0"/>
  </r>
  <r>
    <x v="2"/>
    <x v="11"/>
    <x v="11"/>
    <n v="54"/>
    <n v="36"/>
    <n v="18"/>
    <n v="49000"/>
    <n v="27000"/>
    <n v="0.55102040816326525"/>
    <x v="1"/>
  </r>
  <r>
    <x v="3"/>
    <x v="0"/>
    <x v="0"/>
    <n v="80"/>
    <n v="52"/>
    <n v="28"/>
    <n v="60000"/>
    <n v="42000"/>
    <n v="0.7"/>
    <x v="0"/>
  </r>
  <r>
    <x v="3"/>
    <x v="1"/>
    <x v="1"/>
    <n v="90"/>
    <n v="58"/>
    <n v="32"/>
    <n v="65000"/>
    <n v="48000"/>
    <n v="0.7384615384615385"/>
    <x v="1"/>
  </r>
  <r>
    <x v="3"/>
    <x v="2"/>
    <x v="2"/>
    <n v="110"/>
    <n v="70"/>
    <n v="40"/>
    <n v="95000"/>
    <n v="65000"/>
    <n v="0.68421052631578949"/>
    <x v="0"/>
  </r>
  <r>
    <x v="3"/>
    <x v="3"/>
    <x v="3"/>
    <n v="95"/>
    <n v="60"/>
    <n v="35"/>
    <n v="90000"/>
    <n v="58000"/>
    <n v="0.64444444444444449"/>
    <x v="1"/>
  </r>
  <r>
    <x v="3"/>
    <x v="4"/>
    <x v="4"/>
    <n v="85"/>
    <n v="55"/>
    <n v="30"/>
    <n v="78000"/>
    <n v="50000"/>
    <n v="0.64102564102564108"/>
    <x v="0"/>
  </r>
  <r>
    <x v="3"/>
    <x v="5"/>
    <x v="5"/>
    <n v="75"/>
    <n v="50"/>
    <n v="25"/>
    <n v="70000"/>
    <n v="42000"/>
    <n v="0.6"/>
    <x v="1"/>
  </r>
  <r>
    <x v="3"/>
    <x v="6"/>
    <x v="6"/>
    <n v="70"/>
    <n v="48"/>
    <n v="22"/>
    <n v="68000"/>
    <n v="39000"/>
    <n v="0.57352941176470584"/>
    <x v="0"/>
  </r>
  <r>
    <x v="3"/>
    <x v="7"/>
    <x v="7"/>
    <n v="69"/>
    <n v="45"/>
    <n v="24"/>
    <n v="72000"/>
    <n v="41000"/>
    <n v="0.56944444444444442"/>
    <x v="1"/>
  </r>
  <r>
    <x v="3"/>
    <x v="8"/>
    <x v="8"/>
    <n v="80"/>
    <n v="53"/>
    <n v="27"/>
    <n v="75000"/>
    <n v="47000"/>
    <n v="0.62666666666666671"/>
    <x v="0"/>
  </r>
  <r>
    <x v="3"/>
    <x v="9"/>
    <x v="9"/>
    <n v="60"/>
    <n v="40"/>
    <n v="20"/>
    <n v="60000"/>
    <n v="35000"/>
    <n v="0.58333333333333337"/>
    <x v="1"/>
  </r>
  <r>
    <x v="3"/>
    <x v="10"/>
    <x v="10"/>
    <n v="56"/>
    <n v="38"/>
    <n v="18"/>
    <n v="55000"/>
    <n v="30000"/>
    <n v="0.54545454545454541"/>
    <x v="0"/>
  </r>
  <r>
    <x v="3"/>
    <x v="11"/>
    <x v="11"/>
    <n v="63"/>
    <n v="42"/>
    <n v="21"/>
    <n v="62000"/>
    <n v="36000"/>
    <n v="0.58064516129032262"/>
    <x v="1"/>
  </r>
  <r>
    <x v="1"/>
    <x v="0"/>
    <x v="12"/>
    <n v="34"/>
    <n v="24"/>
    <n v="10"/>
    <n v="37000"/>
    <n v="15000"/>
    <n v="0.40540540540540543"/>
    <x v="0"/>
  </r>
  <r>
    <x v="1"/>
    <x v="1"/>
    <x v="13"/>
    <n v="36"/>
    <n v="25"/>
    <n v="11"/>
    <n v="38000"/>
    <n v="16000"/>
    <n v="0.42105263157894735"/>
    <x v="1"/>
  </r>
  <r>
    <x v="1"/>
    <x v="2"/>
    <x v="14"/>
    <n v="41"/>
    <n v="28"/>
    <n v="13"/>
    <n v="40000"/>
    <n v="17500"/>
    <n v="0.4375"/>
    <x v="0"/>
  </r>
  <r>
    <x v="1"/>
    <x v="3"/>
    <x v="15"/>
    <n v="39"/>
    <n v="27"/>
    <n v="12"/>
    <n v="39500"/>
    <n v="17000"/>
    <n v="0.43037974683544306"/>
    <x v="1"/>
  </r>
  <r>
    <x v="1"/>
    <x v="4"/>
    <x v="16"/>
    <n v="37"/>
    <n v="26"/>
    <n v="11"/>
    <n v="39000"/>
    <n v="16500"/>
    <n v="0.42307692307692307"/>
    <x v="0"/>
  </r>
  <r>
    <x v="1"/>
    <x v="5"/>
    <x v="17"/>
    <n v="35"/>
    <n v="25"/>
    <n v="10"/>
    <n v="38000"/>
    <n v="16000"/>
    <n v="0.42105263157894735"/>
    <x v="1"/>
  </r>
  <r>
    <x v="1"/>
    <x v="6"/>
    <x v="18"/>
    <n v="32"/>
    <n v="23"/>
    <n v="9"/>
    <n v="37000"/>
    <n v="15000"/>
    <n v="0.40540540540540543"/>
    <x v="0"/>
  </r>
  <r>
    <x v="1"/>
    <x v="7"/>
    <x v="19"/>
    <n v="34"/>
    <n v="24"/>
    <n v="10"/>
    <n v="37500"/>
    <n v="15500"/>
    <n v="0.41333333333333333"/>
    <x v="1"/>
  </r>
  <r>
    <x v="1"/>
    <x v="8"/>
    <x v="20"/>
    <n v="37"/>
    <n v="26"/>
    <n v="11"/>
    <n v="38500"/>
    <n v="16500"/>
    <n v="0.42857142857142855"/>
    <x v="0"/>
  </r>
  <r>
    <x v="1"/>
    <x v="9"/>
    <x v="21"/>
    <n v="31"/>
    <n v="22"/>
    <n v="9"/>
    <n v="36000"/>
    <n v="14500"/>
    <n v="0.40277777777777779"/>
    <x v="1"/>
  </r>
  <r>
    <x v="1"/>
    <x v="10"/>
    <x v="22"/>
    <n v="29"/>
    <n v="21"/>
    <n v="8"/>
    <n v="35000"/>
    <n v="14000"/>
    <n v="0.4"/>
    <x v="0"/>
  </r>
  <r>
    <x v="1"/>
    <x v="11"/>
    <x v="23"/>
    <n v="31"/>
    <n v="22"/>
    <n v="9"/>
    <n v="36000"/>
    <n v="14500"/>
    <n v="0.40277777777777779"/>
    <x v="1"/>
  </r>
  <r>
    <x v="5"/>
    <x v="0"/>
    <x v="0"/>
    <n v="102"/>
    <n v="66"/>
    <n v="36"/>
    <n v="81000"/>
    <n v="61000"/>
    <n v="0.75308641975308643"/>
    <x v="0"/>
  </r>
  <r>
    <x v="5"/>
    <x v="1"/>
    <x v="1"/>
    <n v="108"/>
    <n v="69"/>
    <n v="39"/>
    <n v="83000"/>
    <n v="67000"/>
    <n v="0.80722891566265065"/>
    <x v="1"/>
  </r>
  <r>
    <x v="5"/>
    <x v="2"/>
    <x v="2"/>
    <n v="130"/>
    <n v="80"/>
    <n v="50"/>
    <n v="108000"/>
    <n v="80000"/>
    <n v="0.7407407407407407"/>
    <x v="0"/>
  </r>
  <r>
    <x v="5"/>
    <x v="3"/>
    <x v="3"/>
    <n v="114"/>
    <n v="72"/>
    <n v="42"/>
    <n v="97000"/>
    <n v="72000"/>
    <n v="0.74226804123711343"/>
    <x v="1"/>
  </r>
  <r>
    <x v="5"/>
    <x v="4"/>
    <x v="4"/>
    <n v="106"/>
    <n v="68"/>
    <n v="38"/>
    <n v="92000"/>
    <n v="67000"/>
    <n v="0.72826086956521741"/>
    <x v="0"/>
  </r>
  <r>
    <x v="5"/>
    <x v="5"/>
    <x v="5"/>
    <n v="96"/>
    <n v="62"/>
    <n v="34"/>
    <n v="87000"/>
    <n v="60000"/>
    <n v="0.68965517241379315"/>
    <x v="1"/>
  </r>
  <r>
    <x v="5"/>
    <x v="6"/>
    <x v="6"/>
    <n v="92"/>
    <n v="60"/>
    <n v="32"/>
    <n v="85000"/>
    <n v="57000"/>
    <n v="0.6705882352941176"/>
    <x v="0"/>
  </r>
  <r>
    <x v="5"/>
    <x v="7"/>
    <x v="7"/>
    <n v="94"/>
    <n v="61"/>
    <n v="33"/>
    <n v="86000"/>
    <n v="58000"/>
    <n v="0.67441860465116277"/>
    <x v="1"/>
  </r>
  <r>
    <x v="5"/>
    <x v="8"/>
    <x v="8"/>
    <n v="100"/>
    <n v="64"/>
    <n v="36"/>
    <n v="90000"/>
    <n v="62000"/>
    <n v="0.68888888888888888"/>
    <x v="0"/>
  </r>
  <r>
    <x v="5"/>
    <x v="9"/>
    <x v="9"/>
    <n v="88"/>
    <n v="57"/>
    <n v="31"/>
    <n v="82000"/>
    <n v="54000"/>
    <n v="0.65853658536585369"/>
    <x v="1"/>
  </r>
  <r>
    <x v="5"/>
    <x v="10"/>
    <x v="10"/>
    <n v="84"/>
    <n v="55"/>
    <n v="29"/>
    <n v="80000"/>
    <n v="52000"/>
    <n v="0.65"/>
    <x v="0"/>
  </r>
  <r>
    <x v="5"/>
    <x v="11"/>
    <x v="11"/>
    <n v="86"/>
    <n v="56"/>
    <n v="30"/>
    <n v="81000"/>
    <n v="53000"/>
    <n v="0.65432098765432101"/>
    <x v="1"/>
  </r>
  <r>
    <x v="6"/>
    <x v="0"/>
    <x v="0"/>
    <n v="108"/>
    <n v="70"/>
    <n v="38"/>
    <n v="85000"/>
    <n v="65000"/>
    <n v="0.76470588235294112"/>
    <x v="0"/>
  </r>
  <r>
    <x v="6"/>
    <x v="1"/>
    <x v="1"/>
    <n v="116"/>
    <n v="74"/>
    <n v="42"/>
    <n v="88000"/>
    <n v="70000"/>
    <n v="0.79545454545454541"/>
    <x v="1"/>
  </r>
  <r>
    <x v="6"/>
    <x v="2"/>
    <x v="2"/>
    <n v="137"/>
    <n v="85"/>
    <n v="52"/>
    <n v="110000"/>
    <n v="85000"/>
    <n v="0.77272727272727271"/>
    <x v="0"/>
  </r>
  <r>
    <x v="2"/>
    <x v="0"/>
    <x v="0"/>
    <n v="60"/>
    <n v="40"/>
    <n v="20"/>
    <n v="50000"/>
    <n v="30000"/>
    <n v="0.6"/>
    <x v="0"/>
  </r>
  <r>
    <x v="2"/>
    <x v="1"/>
    <x v="1"/>
    <n v="64"/>
    <n v="42"/>
    <n v="22"/>
    <n v="52000"/>
    <n v="32000"/>
    <n v="0.61538461538461542"/>
    <x v="1"/>
  </r>
  <r>
    <x v="2"/>
    <x v="2"/>
    <x v="2"/>
    <n v="70"/>
    <n v="45"/>
    <n v="25"/>
    <n v="55000"/>
    <n v="35000"/>
    <n v="0.63636363636363635"/>
    <x v="0"/>
  </r>
  <r>
    <x v="2"/>
    <x v="3"/>
    <x v="3"/>
    <n v="66"/>
    <n v="43"/>
    <n v="23"/>
    <n v="54000"/>
    <n v="33000"/>
    <n v="0.61111111111111116"/>
    <x v="1"/>
  </r>
  <r>
    <x v="2"/>
    <x v="4"/>
    <x v="4"/>
    <n v="62"/>
    <n v="41"/>
    <n v="21"/>
    <n v="53000"/>
    <n v="31000"/>
    <n v="0.58490566037735847"/>
    <x v="0"/>
  </r>
  <r>
    <x v="2"/>
    <x v="5"/>
    <x v="5"/>
    <n v="58"/>
    <n v="39"/>
    <n v="19"/>
    <n v="52000"/>
    <n v="29000"/>
    <n v="0.55769230769230771"/>
    <x v="1"/>
  </r>
  <r>
    <x v="2"/>
    <x v="6"/>
    <x v="6"/>
    <n v="56"/>
    <n v="38"/>
    <n v="18"/>
    <n v="51000"/>
    <n v="28000"/>
    <n v="0.5490196078431373"/>
    <x v="0"/>
  </r>
  <r>
    <x v="2"/>
    <x v="7"/>
    <x v="7"/>
    <n v="60"/>
    <n v="40"/>
    <n v="20"/>
    <n v="52000"/>
    <n v="30000"/>
    <n v="0.57692307692307687"/>
    <x v="1"/>
  </r>
  <r>
    <x v="2"/>
    <x v="8"/>
    <x v="8"/>
    <n v="64"/>
    <n v="42"/>
    <n v="22"/>
    <n v="53000"/>
    <n v="32000"/>
    <n v="0.60377358490566035"/>
    <x v="0"/>
  </r>
  <r>
    <x v="2"/>
    <x v="9"/>
    <x v="9"/>
    <n v="52"/>
    <n v="35"/>
    <n v="17"/>
    <n v="48000"/>
    <n v="26000"/>
    <n v="0.54166666666666663"/>
    <x v="1"/>
  </r>
  <r>
    <x v="2"/>
    <x v="10"/>
    <x v="10"/>
    <n v="50"/>
    <n v="34"/>
    <n v="16"/>
    <n v="47000"/>
    <n v="25000"/>
    <n v="0.53191489361702127"/>
    <x v="0"/>
  </r>
  <r>
    <x v="2"/>
    <x v="11"/>
    <x v="11"/>
    <n v="54"/>
    <n v="36"/>
    <n v="18"/>
    <n v="49000"/>
    <n v="27000"/>
    <n v="0.55102040816326525"/>
    <x v="1"/>
  </r>
  <r>
    <x v="3"/>
    <x v="0"/>
    <x v="0"/>
    <n v="80"/>
    <n v="52"/>
    <n v="28"/>
    <n v="60000"/>
    <n v="42000"/>
    <n v="0.7"/>
    <x v="0"/>
  </r>
  <r>
    <x v="3"/>
    <x v="1"/>
    <x v="1"/>
    <n v="90"/>
    <n v="58"/>
    <n v="32"/>
    <n v="65000"/>
    <n v="48000"/>
    <n v="0.7384615384615385"/>
    <x v="1"/>
  </r>
  <r>
    <x v="3"/>
    <x v="2"/>
    <x v="2"/>
    <n v="110"/>
    <n v="70"/>
    <n v="40"/>
    <n v="95000"/>
    <n v="65000"/>
    <n v="0.68421052631578949"/>
    <x v="0"/>
  </r>
  <r>
    <x v="3"/>
    <x v="3"/>
    <x v="3"/>
    <n v="95"/>
    <n v="60"/>
    <n v="35"/>
    <n v="90000"/>
    <n v="58000"/>
    <n v="0.64444444444444449"/>
    <x v="1"/>
  </r>
  <r>
    <x v="3"/>
    <x v="4"/>
    <x v="4"/>
    <n v="85"/>
    <n v="55"/>
    <n v="30"/>
    <n v="78000"/>
    <n v="50000"/>
    <n v="0.64102564102564108"/>
    <x v="0"/>
  </r>
  <r>
    <x v="3"/>
    <x v="5"/>
    <x v="5"/>
    <n v="75"/>
    <n v="50"/>
    <n v="25"/>
    <n v="70000"/>
    <n v="42000"/>
    <n v="0.6"/>
    <x v="1"/>
  </r>
  <r>
    <x v="3"/>
    <x v="6"/>
    <x v="6"/>
    <n v="70"/>
    <n v="48"/>
    <n v="22"/>
    <n v="68000"/>
    <n v="39000"/>
    <n v="0.57352941176470584"/>
    <x v="0"/>
  </r>
  <r>
    <x v="3"/>
    <x v="7"/>
    <x v="7"/>
    <n v="69"/>
    <n v="45"/>
    <n v="24"/>
    <n v="72000"/>
    <n v="41000"/>
    <n v="0.56944444444444442"/>
    <x v="1"/>
  </r>
  <r>
    <x v="3"/>
    <x v="8"/>
    <x v="8"/>
    <n v="80"/>
    <n v="53"/>
    <n v="27"/>
    <n v="75000"/>
    <n v="47000"/>
    <n v="0.62666666666666671"/>
    <x v="0"/>
  </r>
  <r>
    <x v="3"/>
    <x v="9"/>
    <x v="9"/>
    <n v="60"/>
    <n v="40"/>
    <n v="20"/>
    <n v="60000"/>
    <n v="35000"/>
    <n v="0.58333333333333337"/>
    <x v="1"/>
  </r>
  <r>
    <x v="3"/>
    <x v="10"/>
    <x v="10"/>
    <n v="56"/>
    <n v="38"/>
    <n v="18"/>
    <n v="55000"/>
    <n v="30000"/>
    <n v="0.54545454545454541"/>
    <x v="0"/>
  </r>
  <r>
    <x v="3"/>
    <x v="11"/>
    <x v="11"/>
    <n v="63"/>
    <n v="42"/>
    <n v="21"/>
    <n v="62000"/>
    <n v="36000"/>
    <n v="0.58064516129032262"/>
    <x v="1"/>
  </r>
  <r>
    <x v="4"/>
    <x v="0"/>
    <x v="0"/>
    <n v="93"/>
    <n v="60"/>
    <n v="33"/>
    <n v="70000"/>
    <n v="52000"/>
    <n v="0.74285714285714288"/>
    <x v="0"/>
  </r>
  <r>
    <x v="4"/>
    <x v="1"/>
    <x v="1"/>
    <n v="101"/>
    <n v="65"/>
    <n v="36"/>
    <n v="78000"/>
    <n v="60000"/>
    <n v="0.76923076923076927"/>
    <x v="1"/>
  </r>
  <r>
    <x v="4"/>
    <x v="2"/>
    <x v="2"/>
    <n v="120"/>
    <n v="75"/>
    <n v="45"/>
    <n v="100000"/>
    <n v="72000"/>
    <n v="0.72"/>
    <x v="0"/>
  </r>
  <r>
    <x v="4"/>
    <x v="3"/>
    <x v="3"/>
    <n v="106"/>
    <n v="68"/>
    <n v="38"/>
    <n v="92000"/>
    <n v="65000"/>
    <n v="0.70652173913043481"/>
    <x v="1"/>
  </r>
  <r>
    <x v="4"/>
    <x v="4"/>
    <x v="4"/>
    <n v="96"/>
    <n v="62"/>
    <n v="34"/>
    <n v="85000"/>
    <n v="59000"/>
    <n v="0.69411764705882351"/>
    <x v="0"/>
  </r>
  <r>
    <x v="4"/>
    <x v="5"/>
    <x v="5"/>
    <n v="84"/>
    <n v="55"/>
    <n v="29"/>
    <n v="78000"/>
    <n v="50000"/>
    <n v="0.64102564102564108"/>
    <x v="1"/>
  </r>
  <r>
    <x v="4"/>
    <x v="6"/>
    <x v="6"/>
    <n v="80"/>
    <n v="53"/>
    <n v="27"/>
    <n v="76000"/>
    <n v="48000"/>
    <n v="0.63157894736842102"/>
    <x v="0"/>
  </r>
  <r>
    <x v="4"/>
    <x v="7"/>
    <x v="7"/>
    <n v="82"/>
    <n v="54"/>
    <n v="28"/>
    <n v="77000"/>
    <n v="49000"/>
    <n v="0.63636363636363635"/>
    <x v="1"/>
  </r>
  <r>
    <x v="4"/>
    <x v="8"/>
    <x v="8"/>
    <n v="89"/>
    <n v="58"/>
    <n v="31"/>
    <n v="80000"/>
    <n v="53000"/>
    <n v="0.66249999999999998"/>
    <x v="0"/>
  </r>
  <r>
    <x v="4"/>
    <x v="9"/>
    <x v="9"/>
    <n v="76"/>
    <n v="50"/>
    <n v="26"/>
    <n v="72000"/>
    <n v="46000"/>
    <n v="0.63888888888888884"/>
    <x v="1"/>
  </r>
  <r>
    <x v="4"/>
    <x v="10"/>
    <x v="10"/>
    <n v="72"/>
    <n v="48"/>
    <n v="24"/>
    <n v="70000"/>
    <n v="44000"/>
    <n v="0.62857142857142856"/>
    <x v="0"/>
  </r>
  <r>
    <x v="4"/>
    <x v="11"/>
    <x v="11"/>
    <n v="74"/>
    <n v="49"/>
    <n v="25"/>
    <n v="71000"/>
    <n v="45000"/>
    <n v="0.63380281690140849"/>
    <x v="1"/>
  </r>
  <r>
    <x v="5"/>
    <x v="0"/>
    <x v="0"/>
    <n v="100"/>
    <n v="65"/>
    <n v="35"/>
    <n v="80000"/>
    <n v="60000"/>
    <n v="0.75"/>
    <x v="0"/>
  </r>
  <r>
    <x v="5"/>
    <x v="1"/>
    <x v="1"/>
    <n v="106"/>
    <n v="68"/>
    <n v="38"/>
    <n v="82000"/>
    <n v="65000"/>
    <n v="0.79268292682926833"/>
    <x v="1"/>
  </r>
  <r>
    <x v="5"/>
    <x v="2"/>
    <x v="2"/>
    <n v="126"/>
    <n v="78"/>
    <n v="48"/>
    <n v="105000"/>
    <n v="78000"/>
    <n v="0.74285714285714288"/>
    <x v="0"/>
  </r>
  <r>
    <x v="5"/>
    <x v="3"/>
    <x v="3"/>
    <n v="110"/>
    <n v="70"/>
    <n v="40"/>
    <n v="95000"/>
    <n v="70000"/>
    <n v="0.73684210526315785"/>
    <x v="1"/>
  </r>
  <r>
    <x v="5"/>
    <x v="4"/>
    <x v="4"/>
    <n v="102"/>
    <n v="66"/>
    <n v="36"/>
    <n v="90000"/>
    <n v="65000"/>
    <n v="0.72222222222222221"/>
    <x v="0"/>
  </r>
  <r>
    <x v="5"/>
    <x v="5"/>
    <x v="5"/>
    <n v="92"/>
    <n v="60"/>
    <n v="32"/>
    <n v="85000"/>
    <n v="58000"/>
    <n v="0.68235294117647061"/>
    <x v="1"/>
  </r>
  <r>
    <x v="5"/>
    <x v="6"/>
    <x v="6"/>
    <n v="88"/>
    <n v="58"/>
    <n v="30"/>
    <n v="83000"/>
    <n v="55000"/>
    <n v="0.66265060240963858"/>
    <x v="0"/>
  </r>
  <r>
    <x v="5"/>
    <x v="7"/>
    <x v="7"/>
    <n v="90"/>
    <n v="59"/>
    <n v="31"/>
    <n v="84000"/>
    <n v="56000"/>
    <n v="0.66666666666666663"/>
    <x v="1"/>
  </r>
  <r>
    <x v="5"/>
    <x v="8"/>
    <x v="8"/>
    <n v="96"/>
    <n v="62"/>
    <n v="34"/>
    <n v="88000"/>
    <n v="60000"/>
    <n v="0.68181818181818177"/>
    <x v="0"/>
  </r>
  <r>
    <x v="5"/>
    <x v="9"/>
    <x v="9"/>
    <n v="84"/>
    <n v="55"/>
    <n v="29"/>
    <n v="80000"/>
    <n v="52000"/>
    <n v="0.65"/>
    <x v="1"/>
  </r>
  <r>
    <x v="5"/>
    <x v="10"/>
    <x v="10"/>
    <n v="80"/>
    <n v="53"/>
    <n v="27"/>
    <n v="78000"/>
    <n v="50000"/>
    <n v="0.64102564102564108"/>
    <x v="0"/>
  </r>
  <r>
    <x v="5"/>
    <x v="11"/>
    <x v="11"/>
    <n v="82"/>
    <n v="54"/>
    <n v="28"/>
    <n v="79000"/>
    <n v="51000"/>
    <n v="0.64556962025316456"/>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9620CF-1EC3-45A6-884E-13C3C4DE9EF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10">
    <pivotField showAll="0"/>
    <pivotField showAll="0"/>
    <pivotField showAll="0">
      <items count="25">
        <item x="23"/>
        <item x="20"/>
        <item x="11"/>
        <item x="0"/>
        <item x="22"/>
        <item x="8"/>
        <item x="12"/>
        <item x="16"/>
        <item x="3"/>
        <item x="17"/>
        <item x="1"/>
        <item x="2"/>
        <item x="10"/>
        <item x="21"/>
        <item x="18"/>
        <item x="19"/>
        <item x="9"/>
        <item x="6"/>
        <item x="5"/>
        <item x="7"/>
        <item x="13"/>
        <item x="14"/>
        <item x="4"/>
        <item x="15"/>
        <item t="default"/>
      </items>
    </pivotField>
    <pivotField showAll="0"/>
    <pivotField showAll="0"/>
    <pivotField showAll="0"/>
    <pivotField showAll="0"/>
    <pivotField dataField="1" showAll="0"/>
    <pivotField numFmtId="9" showAll="0"/>
    <pivotField axis="axisRow" showAll="0">
      <items count="3">
        <item x="1"/>
        <item x="0"/>
        <item t="default"/>
      </items>
    </pivotField>
  </pivotFields>
  <rowFields count="1">
    <field x="9"/>
  </rowFields>
  <rowItems count="3">
    <i>
      <x/>
    </i>
    <i>
      <x v="1"/>
    </i>
    <i t="grand">
      <x/>
    </i>
  </rowItems>
  <colItems count="1">
    <i/>
  </colItems>
  <dataFields count="1">
    <dataField name="Count of FHTC_Provided" fld="7" subtotal="count" baseField="9" baseItem="0"/>
  </dataFields>
  <chartFormats count="6">
    <chartFormat chart="1"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9" count="1" selected="0">
            <x v="0"/>
          </reference>
        </references>
      </pivotArea>
    </chartFormat>
    <chartFormat chart="3" format="6">
      <pivotArea type="data" outline="0" fieldPosition="0">
        <references count="2">
          <reference field="4294967294" count="1" selected="0">
            <x v="0"/>
          </reference>
          <reference field="9" count="1" selected="0">
            <x v="1"/>
          </reference>
        </references>
      </pivotArea>
    </chartFormat>
    <chartFormat chart="1" format="1">
      <pivotArea type="data" outline="0" fieldPosition="0">
        <references count="2">
          <reference field="4294967294" count="1" selected="0">
            <x v="0"/>
          </reference>
          <reference field="9" count="1" selected="0">
            <x v="0"/>
          </reference>
        </references>
      </pivotArea>
    </chartFormat>
    <chartFormat chart="1" format="2">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94E9ED-B5CD-4D52-A79E-2B987E45E2A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28" firstHeaderRow="1" firstDataRow="1" firstDataCol="1"/>
  <pivotFields count="10">
    <pivotField showAll="0"/>
    <pivotField showAll="0"/>
    <pivotField axis="axisRow" showAll="0">
      <items count="25">
        <item x="23"/>
        <item x="20"/>
        <item x="11"/>
        <item x="0"/>
        <item x="22"/>
        <item x="8"/>
        <item x="12"/>
        <item x="16"/>
        <item x="3"/>
        <item x="17"/>
        <item x="1"/>
        <item x="2"/>
        <item x="10"/>
        <item x="21"/>
        <item x="18"/>
        <item x="19"/>
        <item x="9"/>
        <item x="6"/>
        <item x="5"/>
        <item x="7"/>
        <item x="13"/>
        <item x="14"/>
        <item x="4"/>
        <item x="15"/>
        <item t="default"/>
      </items>
    </pivotField>
    <pivotField showAll="0"/>
    <pivotField showAll="0"/>
    <pivotField showAll="0"/>
    <pivotField showAll="0"/>
    <pivotField dataField="1" showAll="0"/>
    <pivotField numFmtId="9" showAll="0"/>
    <pivotField showAll="0"/>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FHTC_Provided"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211EEC-9E70-47F5-8325-DDEF2B6F484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1" firstHeaderRow="1" firstDataRow="1" firstDataCol="1"/>
  <pivotFields count="10">
    <pivotField axis="axisRow" showAll="0">
      <items count="8">
        <item sd="0" x="0"/>
        <item sd="0" x="1"/>
        <item sd="0" x="2"/>
        <item sd="0" x="3"/>
        <item sd="0" x="4"/>
        <item sd="0" x="5"/>
        <item sd="0" x="6"/>
        <item t="default"/>
      </items>
    </pivotField>
    <pivotField axis="axisRow" showAll="0">
      <items count="13">
        <item sd="0" x="0"/>
        <item sd="0" x="1"/>
        <item sd="0" x="2"/>
        <item sd="0" x="3"/>
        <item sd="0" x="4"/>
        <item x="5"/>
        <item x="6"/>
        <item x="7"/>
        <item x="8"/>
        <item x="9"/>
        <item x="10"/>
        <item x="11"/>
        <item t="default"/>
      </items>
    </pivotField>
    <pivotField showAll="0">
      <items count="25">
        <item x="23"/>
        <item x="20"/>
        <item x="11"/>
        <item x="0"/>
        <item x="22"/>
        <item x="8"/>
        <item x="12"/>
        <item x="16"/>
        <item x="3"/>
        <item x="17"/>
        <item x="1"/>
        <item x="2"/>
        <item x="10"/>
        <item x="21"/>
        <item x="18"/>
        <item x="19"/>
        <item x="9"/>
        <item x="6"/>
        <item x="5"/>
        <item x="7"/>
        <item x="13"/>
        <item x="14"/>
        <item x="4"/>
        <item x="15"/>
        <item t="default"/>
      </items>
    </pivotField>
    <pivotField showAll="0"/>
    <pivotField showAll="0"/>
    <pivotField showAll="0"/>
    <pivotField showAll="0"/>
    <pivotField dataField="1" showAll="0"/>
    <pivotField numFmtId="9" showAll="0"/>
    <pivotField showAll="0"/>
  </pivotFields>
  <rowFields count="2">
    <field x="0"/>
    <field x="1"/>
  </rowFields>
  <rowItems count="8">
    <i>
      <x/>
    </i>
    <i>
      <x v="1"/>
    </i>
    <i>
      <x v="2"/>
    </i>
    <i>
      <x v="3"/>
    </i>
    <i>
      <x v="4"/>
    </i>
    <i>
      <x v="5"/>
    </i>
    <i>
      <x v="6"/>
    </i>
    <i t="grand">
      <x/>
    </i>
  </rowItems>
  <colItems count="1">
    <i/>
  </colItems>
  <dataFields count="1">
    <dataField name="Sum of FHTC_Provided" fld="7" baseField="0" baseItem="0"/>
  </dataFields>
  <chartFormats count="2">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DF31F0-B8E2-4F84-830F-4E153CC49CC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28" firstHeaderRow="1" firstDataRow="1" firstDataCol="1"/>
  <pivotFields count="10">
    <pivotField showAll="0"/>
    <pivotField showAll="0"/>
    <pivotField axis="axisRow" showAll="0">
      <items count="25">
        <item x="23"/>
        <item x="20"/>
        <item x="11"/>
        <item x="0"/>
        <item x="22"/>
        <item x="8"/>
        <item x="12"/>
        <item x="16"/>
        <item x="3"/>
        <item x="17"/>
        <item x="1"/>
        <item x="2"/>
        <item x="10"/>
        <item x="21"/>
        <item x="18"/>
        <item x="19"/>
        <item x="9"/>
        <item x="6"/>
        <item x="5"/>
        <item x="7"/>
        <item x="13"/>
        <item x="14"/>
        <item x="4"/>
        <item x="15"/>
        <item t="default"/>
      </items>
    </pivotField>
    <pivotField showAll="0"/>
    <pivotField showAll="0"/>
    <pivotField showAll="0"/>
    <pivotField showAll="0"/>
    <pivotField showAll="0"/>
    <pivotField dataField="1" numFmtId="9" showAll="0"/>
    <pivotField showAll="0"/>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Average of Percentage_Coverage" fld="8" subtotal="average" baseField="2" baseItem="0" numFmtId="9"/>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299579-383E-4280-8161-7406AE500DE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0">
    <pivotField showAll="0"/>
    <pivotField showAll="0"/>
    <pivotField dataField="1" showAll="0">
      <items count="25">
        <item x="23"/>
        <item x="20"/>
        <item x="11"/>
        <item x="0"/>
        <item x="22"/>
        <item x="8"/>
        <item x="12"/>
        <item x="16"/>
        <item x="3"/>
        <item x="17"/>
        <item x="1"/>
        <item x="2"/>
        <item x="10"/>
        <item x="21"/>
        <item x="18"/>
        <item x="19"/>
        <item x="9"/>
        <item x="6"/>
        <item x="5"/>
        <item x="7"/>
        <item x="13"/>
        <item x="14"/>
        <item x="4"/>
        <item x="15"/>
        <item t="default"/>
      </items>
    </pivotField>
    <pivotField showAll="0"/>
    <pivotField showAll="0"/>
    <pivotField showAll="0"/>
    <pivotField dataField="1" showAll="0"/>
    <pivotField dataField="1" showAll="0"/>
    <pivotField dataField="1" numFmtId="9" showAll="0"/>
    <pivotField showAll="0"/>
  </pivotFields>
  <rowItems count="1">
    <i/>
  </rowItems>
  <colFields count="1">
    <field x="-2"/>
  </colFields>
  <colItems count="4">
    <i>
      <x/>
    </i>
    <i i="1">
      <x v="1"/>
    </i>
    <i i="2">
      <x v="2"/>
    </i>
    <i i="3">
      <x v="3"/>
    </i>
  </colItems>
  <dataFields count="4">
    <dataField name="Sum of FHTC_Provided" fld="7" baseField="2" baseItem="0"/>
    <dataField name="Count of District" fld="2" subtotal="count" baseField="0" baseItem="0"/>
    <dataField name="Average of Percentage_Coverage" fld="8" subtotal="average" baseField="2" baseItem="0" numFmtId="9"/>
    <dataField name="Sum of FHTC_Total"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rict" xr10:uid="{C811F909-DC31-416B-A1F4-4D453E0156CF}" sourceName="District">
  <pivotTables>
    <pivotTable tabId="4" name="PivotTable3"/>
    <pivotTable tabId="2" name="PivotTable1"/>
    <pivotTable tabId="8" name="PivotTable6"/>
    <pivotTable tabId="6" name="PivotTable5"/>
    <pivotTable tabId="3" name="PivotTable2"/>
  </pivotTables>
  <data>
    <tabular pivotCacheId="1721524579">
      <items count="24">
        <i x="23" s="1"/>
        <i x="20" s="1"/>
        <i x="11" s="1"/>
        <i x="0" s="1"/>
        <i x="22" s="1"/>
        <i x="8" s="1"/>
        <i x="12" s="1"/>
        <i x="16" s="1"/>
        <i x="3" s="1"/>
        <i x="17" s="1"/>
        <i x="1" s="1"/>
        <i x="2" s="1"/>
        <i x="10" s="1"/>
        <i x="21" s="1"/>
        <i x="18" s="1"/>
        <i x="19" s="1"/>
        <i x="9" s="1"/>
        <i x="6" s="1"/>
        <i x="5" s="1"/>
        <i x="7" s="1"/>
        <i x="13" s="1"/>
        <i x="14"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trict" xr10:uid="{48F45769-8474-4EF5-AC86-2A04058A0066}" cache="Slicer_District" caption="Distric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trict 1" xr10:uid="{8568CA9C-CE07-41B3-8D1A-C412D48A189E}" cache="Slicer_District" caption="District" style="SlicerStyleOther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96"/>
  <sheetViews>
    <sheetView workbookViewId="0">
      <selection activeCell="N10" sqref="N10"/>
    </sheetView>
  </sheetViews>
  <sheetFormatPr defaultRowHeight="14.5" x14ac:dyDescent="0.35"/>
  <cols>
    <col min="1" max="1" width="8.1796875" customWidth="1"/>
    <col min="2" max="2" width="11.08984375" customWidth="1"/>
    <col min="3" max="3" width="16.36328125" customWidth="1"/>
    <col min="4" max="4" width="15.6328125" bestFit="1" customWidth="1"/>
    <col min="5" max="5" width="8.54296875" customWidth="1"/>
    <col min="6" max="6" width="13.36328125" bestFit="1" customWidth="1"/>
    <col min="7" max="8" width="13.54296875" bestFit="1" customWidth="1"/>
    <col min="9" max="9" width="18.90625" bestFit="1" customWidth="1"/>
    <col min="10" max="10" width="13.7265625" bestFit="1" customWidth="1"/>
    <col min="11" max="11" width="4.26953125" bestFit="1" customWidth="1"/>
  </cols>
  <sheetData>
    <row r="1" spans="1:11" x14ac:dyDescent="0.35">
      <c r="A1" t="s">
        <v>0</v>
      </c>
      <c r="B1" t="s">
        <v>1</v>
      </c>
      <c r="C1" t="s">
        <v>2</v>
      </c>
      <c r="D1" t="s">
        <v>5</v>
      </c>
      <c r="E1" t="s">
        <v>4</v>
      </c>
      <c r="F1" t="s">
        <v>3</v>
      </c>
      <c r="G1" t="s">
        <v>7</v>
      </c>
      <c r="H1" t="s">
        <v>6</v>
      </c>
      <c r="I1" t="s">
        <v>8</v>
      </c>
      <c r="J1" t="s">
        <v>9</v>
      </c>
    </row>
    <row r="2" spans="1:11" x14ac:dyDescent="0.35">
      <c r="A2">
        <v>2020</v>
      </c>
      <c r="B2" t="s">
        <v>10</v>
      </c>
      <c r="C2" t="s">
        <v>11</v>
      </c>
      <c r="D2">
        <v>28</v>
      </c>
      <c r="E2">
        <v>20</v>
      </c>
      <c r="F2">
        <v>8</v>
      </c>
      <c r="G2">
        <v>35000</v>
      </c>
      <c r="H2">
        <v>12000</v>
      </c>
      <c r="I2" s="1">
        <f>H2/G2</f>
        <v>0.34285714285714286</v>
      </c>
      <c r="J2" t="s">
        <v>12</v>
      </c>
      <c r="K2" s="1"/>
    </row>
    <row r="3" spans="1:11" x14ac:dyDescent="0.35">
      <c r="A3">
        <v>2020</v>
      </c>
      <c r="B3" t="s">
        <v>13</v>
      </c>
      <c r="C3" t="s">
        <v>14</v>
      </c>
      <c r="D3">
        <v>31</v>
      </c>
      <c r="E3">
        <v>22</v>
      </c>
      <c r="F3">
        <v>9</v>
      </c>
      <c r="G3">
        <v>36000</v>
      </c>
      <c r="H3">
        <v>13000</v>
      </c>
      <c r="I3" s="1">
        <f t="shared" ref="I3:I66" si="0">H3/G3</f>
        <v>0.3611111111111111</v>
      </c>
      <c r="J3" t="s">
        <v>15</v>
      </c>
      <c r="K3" s="1"/>
    </row>
    <row r="4" spans="1:11" x14ac:dyDescent="0.35">
      <c r="A4">
        <v>2020</v>
      </c>
      <c r="B4" t="s">
        <v>16</v>
      </c>
      <c r="C4" t="s">
        <v>17</v>
      </c>
      <c r="D4">
        <v>35</v>
      </c>
      <c r="E4">
        <v>25</v>
      </c>
      <c r="F4">
        <v>10</v>
      </c>
      <c r="G4">
        <v>38000</v>
      </c>
      <c r="H4">
        <v>14000</v>
      </c>
      <c r="I4" s="1">
        <f t="shared" si="0"/>
        <v>0.36842105263157893</v>
      </c>
      <c r="J4" t="s">
        <v>12</v>
      </c>
      <c r="K4" s="1"/>
    </row>
    <row r="5" spans="1:11" x14ac:dyDescent="0.35">
      <c r="A5">
        <v>2020</v>
      </c>
      <c r="B5" t="s">
        <v>18</v>
      </c>
      <c r="C5" t="s">
        <v>19</v>
      </c>
      <c r="D5">
        <v>32</v>
      </c>
      <c r="E5">
        <v>23</v>
      </c>
      <c r="F5">
        <v>9</v>
      </c>
      <c r="G5">
        <v>37000</v>
      </c>
      <c r="H5">
        <v>13500</v>
      </c>
      <c r="I5" s="1">
        <f t="shared" si="0"/>
        <v>0.36486486486486486</v>
      </c>
      <c r="J5" t="s">
        <v>15</v>
      </c>
      <c r="K5" s="1"/>
    </row>
    <row r="6" spans="1:11" x14ac:dyDescent="0.35">
      <c r="A6">
        <v>2020</v>
      </c>
      <c r="B6" t="s">
        <v>20</v>
      </c>
      <c r="C6" t="s">
        <v>21</v>
      </c>
      <c r="D6">
        <v>29</v>
      </c>
      <c r="E6">
        <v>21</v>
      </c>
      <c r="F6">
        <v>8</v>
      </c>
      <c r="G6">
        <v>36000</v>
      </c>
      <c r="H6">
        <v>12500</v>
      </c>
      <c r="I6" s="1">
        <f t="shared" si="0"/>
        <v>0.34722222222222221</v>
      </c>
      <c r="J6" t="s">
        <v>12</v>
      </c>
      <c r="K6" s="1"/>
    </row>
    <row r="7" spans="1:11" x14ac:dyDescent="0.35">
      <c r="A7">
        <v>2020</v>
      </c>
      <c r="B7" t="s">
        <v>22</v>
      </c>
      <c r="C7" t="s">
        <v>23</v>
      </c>
      <c r="D7">
        <v>27</v>
      </c>
      <c r="E7">
        <v>20</v>
      </c>
      <c r="F7">
        <v>7</v>
      </c>
      <c r="G7">
        <v>35000</v>
      </c>
      <c r="H7">
        <v>12000</v>
      </c>
      <c r="I7" s="1">
        <f t="shared" si="0"/>
        <v>0.34285714285714286</v>
      </c>
      <c r="J7" t="s">
        <v>15</v>
      </c>
      <c r="K7" s="1"/>
    </row>
    <row r="8" spans="1:11" x14ac:dyDescent="0.35">
      <c r="A8">
        <v>2020</v>
      </c>
      <c r="B8" t="s">
        <v>24</v>
      </c>
      <c r="C8" t="s">
        <v>25</v>
      </c>
      <c r="D8">
        <v>26</v>
      </c>
      <c r="E8">
        <v>19</v>
      </c>
      <c r="F8">
        <v>7</v>
      </c>
      <c r="G8">
        <v>34000</v>
      </c>
      <c r="H8">
        <v>11500</v>
      </c>
      <c r="I8" s="1">
        <f t="shared" si="0"/>
        <v>0.33823529411764708</v>
      </c>
      <c r="J8" t="s">
        <v>12</v>
      </c>
      <c r="K8" s="1"/>
    </row>
    <row r="9" spans="1:11" x14ac:dyDescent="0.35">
      <c r="A9">
        <v>2020</v>
      </c>
      <c r="B9" t="s">
        <v>26</v>
      </c>
      <c r="C9" t="s">
        <v>27</v>
      </c>
      <c r="D9">
        <v>28</v>
      </c>
      <c r="E9">
        <v>20</v>
      </c>
      <c r="F9">
        <v>8</v>
      </c>
      <c r="G9">
        <v>35000</v>
      </c>
      <c r="H9">
        <v>12000</v>
      </c>
      <c r="I9" s="1">
        <f t="shared" si="0"/>
        <v>0.34285714285714286</v>
      </c>
      <c r="J9" t="s">
        <v>15</v>
      </c>
      <c r="K9" s="1"/>
    </row>
    <row r="10" spans="1:11" x14ac:dyDescent="0.35">
      <c r="A10">
        <v>2020</v>
      </c>
      <c r="B10" t="s">
        <v>28</v>
      </c>
      <c r="C10" t="s">
        <v>29</v>
      </c>
      <c r="D10">
        <v>31</v>
      </c>
      <c r="E10">
        <v>22</v>
      </c>
      <c r="F10">
        <v>9</v>
      </c>
      <c r="G10">
        <v>36000</v>
      </c>
      <c r="H10">
        <v>13000</v>
      </c>
      <c r="I10" s="1">
        <f t="shared" si="0"/>
        <v>0.3611111111111111</v>
      </c>
      <c r="J10" t="s">
        <v>12</v>
      </c>
      <c r="K10" s="1"/>
    </row>
    <row r="11" spans="1:11" x14ac:dyDescent="0.35">
      <c r="A11">
        <v>2020</v>
      </c>
      <c r="B11" t="s">
        <v>30</v>
      </c>
      <c r="C11" t="s">
        <v>31</v>
      </c>
      <c r="D11">
        <v>25</v>
      </c>
      <c r="E11">
        <v>18</v>
      </c>
      <c r="F11">
        <v>7</v>
      </c>
      <c r="G11">
        <v>33000</v>
      </c>
      <c r="H11">
        <v>11000</v>
      </c>
      <c r="I11" s="1">
        <f t="shared" si="0"/>
        <v>0.33333333333333331</v>
      </c>
      <c r="J11" t="s">
        <v>15</v>
      </c>
      <c r="K11" s="1"/>
    </row>
    <row r="12" spans="1:11" x14ac:dyDescent="0.35">
      <c r="A12">
        <v>2020</v>
      </c>
      <c r="B12" t="s">
        <v>32</v>
      </c>
      <c r="C12" t="s">
        <v>33</v>
      </c>
      <c r="D12">
        <v>23</v>
      </c>
      <c r="E12">
        <v>17</v>
      </c>
      <c r="F12">
        <v>6</v>
      </c>
      <c r="G12">
        <v>32000</v>
      </c>
      <c r="H12">
        <v>10500</v>
      </c>
      <c r="I12" s="1">
        <f t="shared" si="0"/>
        <v>0.328125</v>
      </c>
      <c r="J12" t="s">
        <v>12</v>
      </c>
      <c r="K12" s="1"/>
    </row>
    <row r="13" spans="1:11" x14ac:dyDescent="0.35">
      <c r="A13">
        <v>2020</v>
      </c>
      <c r="B13" t="s">
        <v>34</v>
      </c>
      <c r="C13" t="s">
        <v>35</v>
      </c>
      <c r="D13">
        <v>25</v>
      </c>
      <c r="E13">
        <v>18</v>
      </c>
      <c r="F13">
        <v>7</v>
      </c>
      <c r="G13">
        <v>33000</v>
      </c>
      <c r="H13">
        <v>11000</v>
      </c>
      <c r="I13" s="1">
        <f t="shared" si="0"/>
        <v>0.33333333333333331</v>
      </c>
      <c r="J13" t="s">
        <v>15</v>
      </c>
      <c r="K13" s="1"/>
    </row>
    <row r="14" spans="1:11" x14ac:dyDescent="0.35">
      <c r="A14">
        <v>2021</v>
      </c>
      <c r="B14" t="s">
        <v>10</v>
      </c>
      <c r="C14" t="s">
        <v>11</v>
      </c>
      <c r="D14">
        <v>40</v>
      </c>
      <c r="E14">
        <v>28</v>
      </c>
      <c r="F14">
        <v>12</v>
      </c>
      <c r="G14">
        <v>40000</v>
      </c>
      <c r="H14">
        <v>18000</v>
      </c>
      <c r="I14" s="1">
        <f t="shared" si="0"/>
        <v>0.45</v>
      </c>
      <c r="J14" t="s">
        <v>12</v>
      </c>
      <c r="K14" s="1"/>
    </row>
    <row r="15" spans="1:11" x14ac:dyDescent="0.35">
      <c r="A15">
        <v>2021</v>
      </c>
      <c r="B15" t="s">
        <v>13</v>
      </c>
      <c r="C15" t="s">
        <v>14</v>
      </c>
      <c r="D15">
        <v>44</v>
      </c>
      <c r="E15">
        <v>30</v>
      </c>
      <c r="F15">
        <v>14</v>
      </c>
      <c r="G15">
        <v>42000</v>
      </c>
      <c r="H15">
        <v>20000</v>
      </c>
      <c r="I15" s="1">
        <f t="shared" si="0"/>
        <v>0.47619047619047616</v>
      </c>
      <c r="J15" t="s">
        <v>15</v>
      </c>
      <c r="K15" s="1"/>
    </row>
    <row r="16" spans="1:11" x14ac:dyDescent="0.35">
      <c r="A16">
        <v>2021</v>
      </c>
      <c r="B16" t="s">
        <v>16</v>
      </c>
      <c r="C16" t="s">
        <v>17</v>
      </c>
      <c r="D16">
        <v>51</v>
      </c>
      <c r="E16">
        <v>35</v>
      </c>
      <c r="F16">
        <v>16</v>
      </c>
      <c r="G16">
        <v>45000</v>
      </c>
      <c r="H16">
        <v>22000</v>
      </c>
      <c r="I16" s="1">
        <f t="shared" si="0"/>
        <v>0.48888888888888887</v>
      </c>
      <c r="J16" t="s">
        <v>12</v>
      </c>
      <c r="K16" s="1"/>
    </row>
    <row r="17" spans="1:11" x14ac:dyDescent="0.35">
      <c r="A17">
        <v>2021</v>
      </c>
      <c r="B17" t="s">
        <v>18</v>
      </c>
      <c r="C17" t="s">
        <v>19</v>
      </c>
      <c r="D17">
        <v>48</v>
      </c>
      <c r="E17">
        <v>33</v>
      </c>
      <c r="F17">
        <v>15</v>
      </c>
      <c r="G17">
        <v>44000</v>
      </c>
      <c r="H17">
        <v>21000</v>
      </c>
      <c r="I17" s="1">
        <f t="shared" si="0"/>
        <v>0.47727272727272729</v>
      </c>
      <c r="J17" t="s">
        <v>15</v>
      </c>
      <c r="K17" s="1"/>
    </row>
    <row r="18" spans="1:11" x14ac:dyDescent="0.35">
      <c r="A18">
        <v>2021</v>
      </c>
      <c r="B18" t="s">
        <v>20</v>
      </c>
      <c r="C18" t="s">
        <v>21</v>
      </c>
      <c r="D18">
        <v>43</v>
      </c>
      <c r="E18">
        <v>30</v>
      </c>
      <c r="F18">
        <v>13</v>
      </c>
      <c r="G18">
        <v>43000</v>
      </c>
      <c r="H18">
        <v>19500</v>
      </c>
      <c r="I18" s="1">
        <f t="shared" si="0"/>
        <v>0.45348837209302323</v>
      </c>
      <c r="J18" t="s">
        <v>12</v>
      </c>
      <c r="K18" s="1"/>
    </row>
    <row r="19" spans="1:11" x14ac:dyDescent="0.35">
      <c r="A19">
        <v>2021</v>
      </c>
      <c r="B19" t="s">
        <v>22</v>
      </c>
      <c r="C19" t="s">
        <v>23</v>
      </c>
      <c r="D19">
        <v>40</v>
      </c>
      <c r="E19">
        <v>28</v>
      </c>
      <c r="F19">
        <v>12</v>
      </c>
      <c r="G19">
        <v>42000</v>
      </c>
      <c r="H19">
        <v>18000</v>
      </c>
      <c r="I19" s="1">
        <f t="shared" si="0"/>
        <v>0.42857142857142855</v>
      </c>
      <c r="J19" t="s">
        <v>15</v>
      </c>
      <c r="K19" s="1"/>
    </row>
    <row r="20" spans="1:11" x14ac:dyDescent="0.35">
      <c r="A20">
        <v>2021</v>
      </c>
      <c r="B20" t="s">
        <v>24</v>
      </c>
      <c r="C20" t="s">
        <v>25</v>
      </c>
      <c r="D20">
        <v>38</v>
      </c>
      <c r="E20">
        <v>27</v>
      </c>
      <c r="F20">
        <v>11</v>
      </c>
      <c r="G20">
        <v>41000</v>
      </c>
      <c r="H20">
        <v>17000</v>
      </c>
      <c r="I20" s="1">
        <f t="shared" si="0"/>
        <v>0.41463414634146339</v>
      </c>
      <c r="J20" t="s">
        <v>12</v>
      </c>
      <c r="K20" s="1"/>
    </row>
    <row r="21" spans="1:11" x14ac:dyDescent="0.35">
      <c r="A21">
        <v>2021</v>
      </c>
      <c r="B21" t="s">
        <v>26</v>
      </c>
      <c r="C21" t="s">
        <v>27</v>
      </c>
      <c r="D21">
        <v>41</v>
      </c>
      <c r="E21">
        <v>29</v>
      </c>
      <c r="F21">
        <v>12</v>
      </c>
      <c r="G21">
        <v>42000</v>
      </c>
      <c r="H21">
        <v>18000</v>
      </c>
      <c r="I21" s="1">
        <f t="shared" si="0"/>
        <v>0.42857142857142855</v>
      </c>
      <c r="J21" t="s">
        <v>15</v>
      </c>
      <c r="K21" s="1"/>
    </row>
    <row r="22" spans="1:11" x14ac:dyDescent="0.35">
      <c r="A22">
        <v>2021</v>
      </c>
      <c r="B22" t="s">
        <v>28</v>
      </c>
      <c r="C22" t="s">
        <v>29</v>
      </c>
      <c r="D22">
        <v>45</v>
      </c>
      <c r="E22">
        <v>31</v>
      </c>
      <c r="F22">
        <v>14</v>
      </c>
      <c r="G22">
        <v>43000</v>
      </c>
      <c r="H22">
        <v>20000</v>
      </c>
      <c r="I22" s="1">
        <f t="shared" si="0"/>
        <v>0.46511627906976744</v>
      </c>
      <c r="J22" t="s">
        <v>12</v>
      </c>
      <c r="K22" s="1"/>
    </row>
    <row r="23" spans="1:11" x14ac:dyDescent="0.35">
      <c r="A23">
        <v>2021</v>
      </c>
      <c r="B23" t="s">
        <v>30</v>
      </c>
      <c r="C23" t="s">
        <v>31</v>
      </c>
      <c r="D23">
        <v>35</v>
      </c>
      <c r="E23">
        <v>25</v>
      </c>
      <c r="F23">
        <v>10</v>
      </c>
      <c r="G23">
        <v>39000</v>
      </c>
      <c r="H23">
        <v>16000</v>
      </c>
      <c r="I23" s="1">
        <f t="shared" si="0"/>
        <v>0.41025641025641024</v>
      </c>
      <c r="J23" t="s">
        <v>15</v>
      </c>
      <c r="K23" s="1"/>
    </row>
    <row r="24" spans="1:11" x14ac:dyDescent="0.35">
      <c r="A24">
        <v>2021</v>
      </c>
      <c r="B24" t="s">
        <v>32</v>
      </c>
      <c r="C24" t="s">
        <v>33</v>
      </c>
      <c r="D24">
        <v>33</v>
      </c>
      <c r="E24">
        <v>24</v>
      </c>
      <c r="F24">
        <v>9</v>
      </c>
      <c r="G24">
        <v>38000</v>
      </c>
      <c r="H24">
        <v>15000</v>
      </c>
      <c r="I24" s="1">
        <f t="shared" si="0"/>
        <v>0.39473684210526316</v>
      </c>
      <c r="J24" t="s">
        <v>12</v>
      </c>
      <c r="K24" s="1"/>
    </row>
    <row r="25" spans="1:11" x14ac:dyDescent="0.35">
      <c r="A25">
        <v>2021</v>
      </c>
      <c r="B25" t="s">
        <v>34</v>
      </c>
      <c r="C25" t="s">
        <v>35</v>
      </c>
      <c r="D25">
        <v>37</v>
      </c>
      <c r="E25">
        <v>26</v>
      </c>
      <c r="F25">
        <v>11</v>
      </c>
      <c r="G25">
        <v>40000</v>
      </c>
      <c r="H25">
        <v>16500</v>
      </c>
      <c r="I25" s="1">
        <f t="shared" si="0"/>
        <v>0.41249999999999998</v>
      </c>
      <c r="J25" t="s">
        <v>15</v>
      </c>
      <c r="K25" s="1"/>
    </row>
    <row r="26" spans="1:11" x14ac:dyDescent="0.35">
      <c r="A26">
        <v>2022</v>
      </c>
      <c r="B26" t="s">
        <v>10</v>
      </c>
      <c r="C26" t="s">
        <v>11</v>
      </c>
      <c r="D26">
        <v>60</v>
      </c>
      <c r="E26">
        <v>40</v>
      </c>
      <c r="F26">
        <v>20</v>
      </c>
      <c r="G26">
        <v>50000</v>
      </c>
      <c r="H26">
        <v>30000</v>
      </c>
      <c r="I26" s="1">
        <f t="shared" si="0"/>
        <v>0.6</v>
      </c>
      <c r="J26" t="s">
        <v>12</v>
      </c>
      <c r="K26" s="1"/>
    </row>
    <row r="27" spans="1:11" x14ac:dyDescent="0.35">
      <c r="A27">
        <v>2022</v>
      </c>
      <c r="B27" t="s">
        <v>13</v>
      </c>
      <c r="C27" t="s">
        <v>14</v>
      </c>
      <c r="D27">
        <v>64</v>
      </c>
      <c r="E27">
        <v>42</v>
      </c>
      <c r="F27">
        <v>22</v>
      </c>
      <c r="G27">
        <v>52000</v>
      </c>
      <c r="H27">
        <v>32000</v>
      </c>
      <c r="I27" s="1">
        <f t="shared" si="0"/>
        <v>0.61538461538461542</v>
      </c>
      <c r="J27" t="s">
        <v>15</v>
      </c>
      <c r="K27" s="1"/>
    </row>
    <row r="28" spans="1:11" x14ac:dyDescent="0.35">
      <c r="A28">
        <v>2022</v>
      </c>
      <c r="B28" t="s">
        <v>16</v>
      </c>
      <c r="C28" t="s">
        <v>17</v>
      </c>
      <c r="D28">
        <v>70</v>
      </c>
      <c r="E28">
        <v>45</v>
      </c>
      <c r="F28">
        <v>25</v>
      </c>
      <c r="G28">
        <v>55000</v>
      </c>
      <c r="H28">
        <v>35000</v>
      </c>
      <c r="I28" s="1">
        <f t="shared" si="0"/>
        <v>0.63636363636363635</v>
      </c>
      <c r="J28" t="s">
        <v>12</v>
      </c>
      <c r="K28" s="1"/>
    </row>
    <row r="29" spans="1:11" x14ac:dyDescent="0.35">
      <c r="A29">
        <v>2022</v>
      </c>
      <c r="B29" t="s">
        <v>18</v>
      </c>
      <c r="C29" t="s">
        <v>19</v>
      </c>
      <c r="D29">
        <v>66</v>
      </c>
      <c r="E29">
        <v>43</v>
      </c>
      <c r="F29">
        <v>23</v>
      </c>
      <c r="G29">
        <v>54000</v>
      </c>
      <c r="H29">
        <v>33000</v>
      </c>
      <c r="I29" s="1">
        <f t="shared" si="0"/>
        <v>0.61111111111111116</v>
      </c>
      <c r="J29" t="s">
        <v>15</v>
      </c>
    </row>
    <row r="30" spans="1:11" x14ac:dyDescent="0.35">
      <c r="A30">
        <v>2022</v>
      </c>
      <c r="B30" t="s">
        <v>20</v>
      </c>
      <c r="C30" t="s">
        <v>21</v>
      </c>
      <c r="D30">
        <v>62</v>
      </c>
      <c r="E30">
        <v>41</v>
      </c>
      <c r="F30">
        <v>21</v>
      </c>
      <c r="G30">
        <v>53000</v>
      </c>
      <c r="H30">
        <v>31000</v>
      </c>
      <c r="I30" s="1">
        <f t="shared" si="0"/>
        <v>0.58490566037735847</v>
      </c>
      <c r="J30" t="s">
        <v>12</v>
      </c>
    </row>
    <row r="31" spans="1:11" x14ac:dyDescent="0.35">
      <c r="A31">
        <v>2022</v>
      </c>
      <c r="B31" t="s">
        <v>22</v>
      </c>
      <c r="C31" t="s">
        <v>23</v>
      </c>
      <c r="D31">
        <v>58</v>
      </c>
      <c r="E31">
        <v>39</v>
      </c>
      <c r="F31">
        <v>19</v>
      </c>
      <c r="G31">
        <v>52000</v>
      </c>
      <c r="H31">
        <v>29000</v>
      </c>
      <c r="I31" s="1">
        <f t="shared" si="0"/>
        <v>0.55769230769230771</v>
      </c>
      <c r="J31" t="s">
        <v>15</v>
      </c>
    </row>
    <row r="32" spans="1:11" x14ac:dyDescent="0.35">
      <c r="A32">
        <v>2022</v>
      </c>
      <c r="B32" t="s">
        <v>24</v>
      </c>
      <c r="C32" t="s">
        <v>25</v>
      </c>
      <c r="D32">
        <v>56</v>
      </c>
      <c r="E32">
        <v>38</v>
      </c>
      <c r="F32">
        <v>18</v>
      </c>
      <c r="G32">
        <v>51000</v>
      </c>
      <c r="H32">
        <v>28000</v>
      </c>
      <c r="I32" s="1">
        <f t="shared" si="0"/>
        <v>0.5490196078431373</v>
      </c>
      <c r="J32" t="s">
        <v>12</v>
      </c>
    </row>
    <row r="33" spans="1:10" x14ac:dyDescent="0.35">
      <c r="A33">
        <v>2022</v>
      </c>
      <c r="B33" t="s">
        <v>26</v>
      </c>
      <c r="C33" t="s">
        <v>27</v>
      </c>
      <c r="D33">
        <v>60</v>
      </c>
      <c r="E33">
        <v>40</v>
      </c>
      <c r="F33">
        <v>20</v>
      </c>
      <c r="G33">
        <v>52000</v>
      </c>
      <c r="H33">
        <v>30000</v>
      </c>
      <c r="I33" s="1">
        <f t="shared" si="0"/>
        <v>0.57692307692307687</v>
      </c>
      <c r="J33" t="s">
        <v>15</v>
      </c>
    </row>
    <row r="34" spans="1:10" x14ac:dyDescent="0.35">
      <c r="A34">
        <v>2022</v>
      </c>
      <c r="B34" t="s">
        <v>28</v>
      </c>
      <c r="C34" t="s">
        <v>29</v>
      </c>
      <c r="D34">
        <v>64</v>
      </c>
      <c r="E34">
        <v>42</v>
      </c>
      <c r="F34">
        <v>22</v>
      </c>
      <c r="G34">
        <v>53000</v>
      </c>
      <c r="H34">
        <v>32000</v>
      </c>
      <c r="I34" s="1">
        <f t="shared" si="0"/>
        <v>0.60377358490566035</v>
      </c>
      <c r="J34" t="s">
        <v>12</v>
      </c>
    </row>
    <row r="35" spans="1:10" x14ac:dyDescent="0.35">
      <c r="A35">
        <v>2022</v>
      </c>
      <c r="B35" t="s">
        <v>30</v>
      </c>
      <c r="C35" t="s">
        <v>31</v>
      </c>
      <c r="D35">
        <v>52</v>
      </c>
      <c r="E35">
        <v>35</v>
      </c>
      <c r="F35">
        <v>17</v>
      </c>
      <c r="G35">
        <v>48000</v>
      </c>
      <c r="H35">
        <v>26000</v>
      </c>
      <c r="I35" s="1">
        <f t="shared" si="0"/>
        <v>0.54166666666666663</v>
      </c>
      <c r="J35" t="s">
        <v>15</v>
      </c>
    </row>
    <row r="36" spans="1:10" x14ac:dyDescent="0.35">
      <c r="A36">
        <v>2022</v>
      </c>
      <c r="B36" t="s">
        <v>32</v>
      </c>
      <c r="C36" t="s">
        <v>33</v>
      </c>
      <c r="D36">
        <v>50</v>
      </c>
      <c r="E36">
        <v>34</v>
      </c>
      <c r="F36">
        <v>16</v>
      </c>
      <c r="G36">
        <v>47000</v>
      </c>
      <c r="H36">
        <v>25000</v>
      </c>
      <c r="I36" s="1">
        <f t="shared" si="0"/>
        <v>0.53191489361702127</v>
      </c>
      <c r="J36" t="s">
        <v>12</v>
      </c>
    </row>
    <row r="37" spans="1:10" x14ac:dyDescent="0.35">
      <c r="A37">
        <v>2022</v>
      </c>
      <c r="B37" t="s">
        <v>34</v>
      </c>
      <c r="C37" t="s">
        <v>35</v>
      </c>
      <c r="D37">
        <v>54</v>
      </c>
      <c r="E37">
        <v>36</v>
      </c>
      <c r="F37">
        <v>18</v>
      </c>
      <c r="G37">
        <v>49000</v>
      </c>
      <c r="H37">
        <v>27000</v>
      </c>
      <c r="I37" s="1">
        <f t="shared" si="0"/>
        <v>0.55102040816326525</v>
      </c>
      <c r="J37" t="s">
        <v>15</v>
      </c>
    </row>
    <row r="38" spans="1:10" x14ac:dyDescent="0.35">
      <c r="A38">
        <v>2023</v>
      </c>
      <c r="B38" t="s">
        <v>10</v>
      </c>
      <c r="C38" t="s">
        <v>11</v>
      </c>
      <c r="D38">
        <v>80</v>
      </c>
      <c r="E38">
        <v>52</v>
      </c>
      <c r="F38">
        <v>28</v>
      </c>
      <c r="G38">
        <v>60000</v>
      </c>
      <c r="H38">
        <v>42000</v>
      </c>
      <c r="I38" s="1">
        <f t="shared" si="0"/>
        <v>0.7</v>
      </c>
      <c r="J38" t="s">
        <v>12</v>
      </c>
    </row>
    <row r="39" spans="1:10" x14ac:dyDescent="0.35">
      <c r="A39">
        <v>2023</v>
      </c>
      <c r="B39" t="s">
        <v>13</v>
      </c>
      <c r="C39" t="s">
        <v>14</v>
      </c>
      <c r="D39">
        <v>90</v>
      </c>
      <c r="E39">
        <v>58</v>
      </c>
      <c r="F39">
        <v>32</v>
      </c>
      <c r="G39">
        <v>65000</v>
      </c>
      <c r="H39">
        <v>48000</v>
      </c>
      <c r="I39" s="1">
        <f t="shared" si="0"/>
        <v>0.7384615384615385</v>
      </c>
      <c r="J39" t="s">
        <v>15</v>
      </c>
    </row>
    <row r="40" spans="1:10" x14ac:dyDescent="0.35">
      <c r="A40">
        <v>2023</v>
      </c>
      <c r="B40" t="s">
        <v>16</v>
      </c>
      <c r="C40" t="s">
        <v>17</v>
      </c>
      <c r="D40">
        <v>110</v>
      </c>
      <c r="E40">
        <v>70</v>
      </c>
      <c r="F40">
        <v>40</v>
      </c>
      <c r="G40">
        <v>95000</v>
      </c>
      <c r="H40">
        <v>65000</v>
      </c>
      <c r="I40" s="1">
        <f t="shared" si="0"/>
        <v>0.68421052631578949</v>
      </c>
      <c r="J40" t="s">
        <v>12</v>
      </c>
    </row>
    <row r="41" spans="1:10" x14ac:dyDescent="0.35">
      <c r="A41">
        <v>2023</v>
      </c>
      <c r="B41" t="s">
        <v>18</v>
      </c>
      <c r="C41" t="s">
        <v>19</v>
      </c>
      <c r="D41">
        <v>95</v>
      </c>
      <c r="E41">
        <v>60</v>
      </c>
      <c r="F41">
        <v>35</v>
      </c>
      <c r="G41">
        <v>90000</v>
      </c>
      <c r="H41">
        <v>58000</v>
      </c>
      <c r="I41" s="1">
        <f t="shared" si="0"/>
        <v>0.64444444444444449</v>
      </c>
      <c r="J41" t="s">
        <v>15</v>
      </c>
    </row>
    <row r="42" spans="1:10" x14ac:dyDescent="0.35">
      <c r="A42">
        <v>2023</v>
      </c>
      <c r="B42" t="s">
        <v>20</v>
      </c>
      <c r="C42" t="s">
        <v>21</v>
      </c>
      <c r="D42">
        <v>85</v>
      </c>
      <c r="E42">
        <v>55</v>
      </c>
      <c r="F42">
        <v>30</v>
      </c>
      <c r="G42">
        <v>78000</v>
      </c>
      <c r="H42">
        <v>50000</v>
      </c>
      <c r="I42" s="1">
        <f t="shared" si="0"/>
        <v>0.64102564102564108</v>
      </c>
      <c r="J42" t="s">
        <v>12</v>
      </c>
    </row>
    <row r="43" spans="1:10" x14ac:dyDescent="0.35">
      <c r="A43">
        <v>2023</v>
      </c>
      <c r="B43" t="s">
        <v>22</v>
      </c>
      <c r="C43" t="s">
        <v>23</v>
      </c>
      <c r="D43">
        <v>75</v>
      </c>
      <c r="E43">
        <v>50</v>
      </c>
      <c r="F43">
        <v>25</v>
      </c>
      <c r="G43">
        <v>70000</v>
      </c>
      <c r="H43">
        <v>42000</v>
      </c>
      <c r="I43" s="1">
        <f t="shared" si="0"/>
        <v>0.6</v>
      </c>
      <c r="J43" t="s">
        <v>15</v>
      </c>
    </row>
    <row r="44" spans="1:10" x14ac:dyDescent="0.35">
      <c r="A44">
        <v>2023</v>
      </c>
      <c r="B44" t="s">
        <v>24</v>
      </c>
      <c r="C44" t="s">
        <v>25</v>
      </c>
      <c r="D44">
        <v>70</v>
      </c>
      <c r="E44">
        <v>48</v>
      </c>
      <c r="F44">
        <v>22</v>
      </c>
      <c r="G44">
        <v>68000</v>
      </c>
      <c r="H44">
        <v>39000</v>
      </c>
      <c r="I44" s="1">
        <f t="shared" si="0"/>
        <v>0.57352941176470584</v>
      </c>
      <c r="J44" t="s">
        <v>12</v>
      </c>
    </row>
    <row r="45" spans="1:10" x14ac:dyDescent="0.35">
      <c r="A45">
        <v>2023</v>
      </c>
      <c r="B45" t="s">
        <v>26</v>
      </c>
      <c r="C45" t="s">
        <v>27</v>
      </c>
      <c r="D45">
        <v>69</v>
      </c>
      <c r="E45">
        <v>45</v>
      </c>
      <c r="F45">
        <v>24</v>
      </c>
      <c r="G45">
        <v>72000</v>
      </c>
      <c r="H45">
        <v>41000</v>
      </c>
      <c r="I45" s="1">
        <f t="shared" si="0"/>
        <v>0.56944444444444442</v>
      </c>
      <c r="J45" t="s">
        <v>15</v>
      </c>
    </row>
    <row r="46" spans="1:10" x14ac:dyDescent="0.35">
      <c r="A46">
        <v>2023</v>
      </c>
      <c r="B46" t="s">
        <v>28</v>
      </c>
      <c r="C46" t="s">
        <v>29</v>
      </c>
      <c r="D46">
        <v>80</v>
      </c>
      <c r="E46">
        <v>53</v>
      </c>
      <c r="F46">
        <v>27</v>
      </c>
      <c r="G46">
        <v>75000</v>
      </c>
      <c r="H46">
        <v>47000</v>
      </c>
      <c r="I46" s="1">
        <f t="shared" si="0"/>
        <v>0.62666666666666671</v>
      </c>
      <c r="J46" t="s">
        <v>12</v>
      </c>
    </row>
    <row r="47" spans="1:10" x14ac:dyDescent="0.35">
      <c r="A47">
        <v>2023</v>
      </c>
      <c r="B47" t="s">
        <v>30</v>
      </c>
      <c r="C47" t="s">
        <v>31</v>
      </c>
      <c r="D47">
        <v>60</v>
      </c>
      <c r="E47">
        <v>40</v>
      </c>
      <c r="F47">
        <v>20</v>
      </c>
      <c r="G47">
        <v>60000</v>
      </c>
      <c r="H47">
        <v>35000</v>
      </c>
      <c r="I47" s="1">
        <f t="shared" si="0"/>
        <v>0.58333333333333337</v>
      </c>
      <c r="J47" t="s">
        <v>15</v>
      </c>
    </row>
    <row r="48" spans="1:10" x14ac:dyDescent="0.35">
      <c r="A48">
        <v>2023</v>
      </c>
      <c r="B48" t="s">
        <v>32</v>
      </c>
      <c r="C48" t="s">
        <v>33</v>
      </c>
      <c r="D48">
        <v>56</v>
      </c>
      <c r="E48">
        <v>38</v>
      </c>
      <c r="F48">
        <v>18</v>
      </c>
      <c r="G48">
        <v>55000</v>
      </c>
      <c r="H48">
        <v>30000</v>
      </c>
      <c r="I48" s="1">
        <f t="shared" si="0"/>
        <v>0.54545454545454541</v>
      </c>
      <c r="J48" t="s">
        <v>12</v>
      </c>
    </row>
    <row r="49" spans="1:10" x14ac:dyDescent="0.35">
      <c r="A49">
        <v>2023</v>
      </c>
      <c r="B49" t="s">
        <v>34</v>
      </c>
      <c r="C49" t="s">
        <v>35</v>
      </c>
      <c r="D49">
        <v>63</v>
      </c>
      <c r="E49">
        <v>42</v>
      </c>
      <c r="F49">
        <v>21</v>
      </c>
      <c r="G49">
        <v>62000</v>
      </c>
      <c r="H49">
        <v>36000</v>
      </c>
      <c r="I49" s="1">
        <f t="shared" si="0"/>
        <v>0.58064516129032262</v>
      </c>
      <c r="J49" t="s">
        <v>15</v>
      </c>
    </row>
    <row r="50" spans="1:10" x14ac:dyDescent="0.35">
      <c r="A50">
        <v>2024</v>
      </c>
      <c r="B50" t="s">
        <v>10</v>
      </c>
      <c r="C50" t="s">
        <v>11</v>
      </c>
      <c r="D50">
        <v>93</v>
      </c>
      <c r="E50">
        <v>60</v>
      </c>
      <c r="F50">
        <v>33</v>
      </c>
      <c r="G50">
        <v>70000</v>
      </c>
      <c r="H50">
        <v>52000</v>
      </c>
      <c r="I50" s="1">
        <f t="shared" si="0"/>
        <v>0.74285714285714288</v>
      </c>
      <c r="J50" t="s">
        <v>12</v>
      </c>
    </row>
    <row r="51" spans="1:10" x14ac:dyDescent="0.35">
      <c r="A51">
        <v>2024</v>
      </c>
      <c r="B51" t="s">
        <v>13</v>
      </c>
      <c r="C51" t="s">
        <v>14</v>
      </c>
      <c r="D51">
        <v>101</v>
      </c>
      <c r="E51">
        <v>65</v>
      </c>
      <c r="F51">
        <v>36</v>
      </c>
      <c r="G51">
        <v>78000</v>
      </c>
      <c r="H51">
        <v>60000</v>
      </c>
      <c r="I51" s="1">
        <f t="shared" si="0"/>
        <v>0.76923076923076927</v>
      </c>
      <c r="J51" t="s">
        <v>15</v>
      </c>
    </row>
    <row r="52" spans="1:10" x14ac:dyDescent="0.35">
      <c r="A52">
        <v>2024</v>
      </c>
      <c r="B52" t="s">
        <v>16</v>
      </c>
      <c r="C52" t="s">
        <v>17</v>
      </c>
      <c r="D52">
        <v>120</v>
      </c>
      <c r="E52">
        <v>75</v>
      </c>
      <c r="F52">
        <v>45</v>
      </c>
      <c r="G52">
        <v>100000</v>
      </c>
      <c r="H52">
        <v>72000</v>
      </c>
      <c r="I52" s="1">
        <f t="shared" si="0"/>
        <v>0.72</v>
      </c>
      <c r="J52" t="s">
        <v>12</v>
      </c>
    </row>
    <row r="53" spans="1:10" x14ac:dyDescent="0.35">
      <c r="A53">
        <v>2024</v>
      </c>
      <c r="B53" t="s">
        <v>18</v>
      </c>
      <c r="C53" t="s">
        <v>19</v>
      </c>
      <c r="D53">
        <v>106</v>
      </c>
      <c r="E53">
        <v>68</v>
      </c>
      <c r="F53">
        <v>38</v>
      </c>
      <c r="G53">
        <v>92000</v>
      </c>
      <c r="H53">
        <v>65000</v>
      </c>
      <c r="I53" s="1">
        <f t="shared" si="0"/>
        <v>0.70652173913043481</v>
      </c>
      <c r="J53" t="s">
        <v>15</v>
      </c>
    </row>
    <row r="54" spans="1:10" x14ac:dyDescent="0.35">
      <c r="A54">
        <v>2024</v>
      </c>
      <c r="B54" t="s">
        <v>20</v>
      </c>
      <c r="C54" t="s">
        <v>21</v>
      </c>
      <c r="D54">
        <v>96</v>
      </c>
      <c r="E54">
        <v>62</v>
      </c>
      <c r="F54">
        <v>34</v>
      </c>
      <c r="G54">
        <v>85000</v>
      </c>
      <c r="H54">
        <v>59000</v>
      </c>
      <c r="I54" s="1">
        <f t="shared" si="0"/>
        <v>0.69411764705882351</v>
      </c>
      <c r="J54" t="s">
        <v>12</v>
      </c>
    </row>
    <row r="55" spans="1:10" x14ac:dyDescent="0.35">
      <c r="A55">
        <v>2024</v>
      </c>
      <c r="B55" t="s">
        <v>22</v>
      </c>
      <c r="C55" t="s">
        <v>23</v>
      </c>
      <c r="D55">
        <v>84</v>
      </c>
      <c r="E55">
        <v>55</v>
      </c>
      <c r="F55">
        <v>29</v>
      </c>
      <c r="G55">
        <v>78000</v>
      </c>
      <c r="H55">
        <v>50000</v>
      </c>
      <c r="I55" s="1">
        <f t="shared" si="0"/>
        <v>0.64102564102564108</v>
      </c>
      <c r="J55" t="s">
        <v>15</v>
      </c>
    </row>
    <row r="56" spans="1:10" x14ac:dyDescent="0.35">
      <c r="A56">
        <v>2024</v>
      </c>
      <c r="B56" t="s">
        <v>24</v>
      </c>
      <c r="C56" t="s">
        <v>25</v>
      </c>
      <c r="D56">
        <v>80</v>
      </c>
      <c r="E56">
        <v>53</v>
      </c>
      <c r="F56">
        <v>27</v>
      </c>
      <c r="G56">
        <v>76000</v>
      </c>
      <c r="H56">
        <v>48000</v>
      </c>
      <c r="I56" s="1">
        <f t="shared" si="0"/>
        <v>0.63157894736842102</v>
      </c>
      <c r="J56" t="s">
        <v>12</v>
      </c>
    </row>
    <row r="57" spans="1:10" x14ac:dyDescent="0.35">
      <c r="A57">
        <v>2024</v>
      </c>
      <c r="B57" t="s">
        <v>26</v>
      </c>
      <c r="C57" t="s">
        <v>27</v>
      </c>
      <c r="D57">
        <v>82</v>
      </c>
      <c r="E57">
        <v>54</v>
      </c>
      <c r="F57">
        <v>28</v>
      </c>
      <c r="G57">
        <v>77000</v>
      </c>
      <c r="H57">
        <v>49000</v>
      </c>
      <c r="I57" s="1">
        <f t="shared" si="0"/>
        <v>0.63636363636363635</v>
      </c>
      <c r="J57" t="s">
        <v>15</v>
      </c>
    </row>
    <row r="58" spans="1:10" x14ac:dyDescent="0.35">
      <c r="A58">
        <v>2024</v>
      </c>
      <c r="B58" t="s">
        <v>28</v>
      </c>
      <c r="C58" t="s">
        <v>29</v>
      </c>
      <c r="D58">
        <v>89</v>
      </c>
      <c r="E58">
        <v>58</v>
      </c>
      <c r="F58">
        <v>31</v>
      </c>
      <c r="G58">
        <v>80000</v>
      </c>
      <c r="H58">
        <v>53000</v>
      </c>
      <c r="I58" s="1">
        <f t="shared" si="0"/>
        <v>0.66249999999999998</v>
      </c>
      <c r="J58" t="s">
        <v>12</v>
      </c>
    </row>
    <row r="59" spans="1:10" x14ac:dyDescent="0.35">
      <c r="A59">
        <v>2024</v>
      </c>
      <c r="B59" t="s">
        <v>30</v>
      </c>
      <c r="C59" t="s">
        <v>31</v>
      </c>
      <c r="D59">
        <v>76</v>
      </c>
      <c r="E59">
        <v>50</v>
      </c>
      <c r="F59">
        <v>26</v>
      </c>
      <c r="G59">
        <v>72000</v>
      </c>
      <c r="H59">
        <v>46000</v>
      </c>
      <c r="I59" s="1">
        <f t="shared" si="0"/>
        <v>0.63888888888888884</v>
      </c>
      <c r="J59" t="s">
        <v>15</v>
      </c>
    </row>
    <row r="60" spans="1:10" x14ac:dyDescent="0.35">
      <c r="A60">
        <v>2024</v>
      </c>
      <c r="B60" t="s">
        <v>32</v>
      </c>
      <c r="C60" t="s">
        <v>33</v>
      </c>
      <c r="D60">
        <v>72</v>
      </c>
      <c r="E60">
        <v>48</v>
      </c>
      <c r="F60">
        <v>24</v>
      </c>
      <c r="G60">
        <v>70000</v>
      </c>
      <c r="H60">
        <v>44000</v>
      </c>
      <c r="I60" s="1">
        <f t="shared" si="0"/>
        <v>0.62857142857142856</v>
      </c>
      <c r="J60" t="s">
        <v>12</v>
      </c>
    </row>
    <row r="61" spans="1:10" x14ac:dyDescent="0.35">
      <c r="A61">
        <v>2024</v>
      </c>
      <c r="B61" t="s">
        <v>34</v>
      </c>
      <c r="C61" t="s">
        <v>35</v>
      </c>
      <c r="D61">
        <v>74</v>
      </c>
      <c r="E61">
        <v>49</v>
      </c>
      <c r="F61">
        <v>25</v>
      </c>
      <c r="G61">
        <v>71000</v>
      </c>
      <c r="H61">
        <v>45000</v>
      </c>
      <c r="I61" s="1">
        <f t="shared" si="0"/>
        <v>0.63380281690140849</v>
      </c>
      <c r="J61" t="s">
        <v>15</v>
      </c>
    </row>
    <row r="62" spans="1:10" x14ac:dyDescent="0.35">
      <c r="A62">
        <v>2025</v>
      </c>
      <c r="B62" t="s">
        <v>10</v>
      </c>
      <c r="C62" t="s">
        <v>11</v>
      </c>
      <c r="D62">
        <v>100</v>
      </c>
      <c r="E62">
        <v>65</v>
      </c>
      <c r="F62">
        <v>35</v>
      </c>
      <c r="G62">
        <v>80000</v>
      </c>
      <c r="H62">
        <v>60000</v>
      </c>
      <c r="I62" s="1">
        <f t="shared" si="0"/>
        <v>0.75</v>
      </c>
      <c r="J62" t="s">
        <v>12</v>
      </c>
    </row>
    <row r="63" spans="1:10" x14ac:dyDescent="0.35">
      <c r="A63">
        <v>2025</v>
      </c>
      <c r="B63" t="s">
        <v>13</v>
      </c>
      <c r="C63" t="s">
        <v>14</v>
      </c>
      <c r="D63">
        <v>106</v>
      </c>
      <c r="E63">
        <v>68</v>
      </c>
      <c r="F63">
        <v>38</v>
      </c>
      <c r="G63">
        <v>82000</v>
      </c>
      <c r="H63">
        <v>65000</v>
      </c>
      <c r="I63" s="1">
        <f t="shared" si="0"/>
        <v>0.79268292682926833</v>
      </c>
      <c r="J63" t="s">
        <v>15</v>
      </c>
    </row>
    <row r="64" spans="1:10" x14ac:dyDescent="0.35">
      <c r="A64">
        <v>2025</v>
      </c>
      <c r="B64" t="s">
        <v>16</v>
      </c>
      <c r="C64" t="s">
        <v>17</v>
      </c>
      <c r="D64">
        <v>126</v>
      </c>
      <c r="E64">
        <v>78</v>
      </c>
      <c r="F64">
        <v>48</v>
      </c>
      <c r="G64">
        <v>105000</v>
      </c>
      <c r="H64">
        <v>78000</v>
      </c>
      <c r="I64" s="1">
        <f t="shared" si="0"/>
        <v>0.74285714285714288</v>
      </c>
      <c r="J64" t="s">
        <v>12</v>
      </c>
    </row>
    <row r="65" spans="1:10" x14ac:dyDescent="0.35">
      <c r="A65">
        <v>2025</v>
      </c>
      <c r="B65" t="s">
        <v>18</v>
      </c>
      <c r="C65" t="s">
        <v>19</v>
      </c>
      <c r="D65">
        <v>110</v>
      </c>
      <c r="E65">
        <v>70</v>
      </c>
      <c r="F65">
        <v>40</v>
      </c>
      <c r="G65">
        <v>95000</v>
      </c>
      <c r="H65">
        <v>70000</v>
      </c>
      <c r="I65" s="1">
        <f t="shared" si="0"/>
        <v>0.73684210526315785</v>
      </c>
      <c r="J65" t="s">
        <v>15</v>
      </c>
    </row>
    <row r="66" spans="1:10" x14ac:dyDescent="0.35">
      <c r="A66">
        <v>2025</v>
      </c>
      <c r="B66" t="s">
        <v>20</v>
      </c>
      <c r="C66" t="s">
        <v>21</v>
      </c>
      <c r="D66">
        <v>102</v>
      </c>
      <c r="E66">
        <v>66</v>
      </c>
      <c r="F66">
        <v>36</v>
      </c>
      <c r="G66">
        <v>90000</v>
      </c>
      <c r="H66">
        <v>65000</v>
      </c>
      <c r="I66" s="1">
        <f t="shared" si="0"/>
        <v>0.72222222222222221</v>
      </c>
      <c r="J66" t="s">
        <v>12</v>
      </c>
    </row>
    <row r="67" spans="1:10" x14ac:dyDescent="0.35">
      <c r="A67">
        <v>2025</v>
      </c>
      <c r="B67" t="s">
        <v>22</v>
      </c>
      <c r="C67" t="s">
        <v>23</v>
      </c>
      <c r="D67">
        <v>92</v>
      </c>
      <c r="E67">
        <v>60</v>
      </c>
      <c r="F67">
        <v>32</v>
      </c>
      <c r="G67">
        <v>85000</v>
      </c>
      <c r="H67">
        <v>58000</v>
      </c>
      <c r="I67" s="1">
        <f t="shared" ref="I67:I130" si="1">H67/G67</f>
        <v>0.68235294117647061</v>
      </c>
      <c r="J67" t="s">
        <v>15</v>
      </c>
    </row>
    <row r="68" spans="1:10" x14ac:dyDescent="0.35">
      <c r="A68">
        <v>2025</v>
      </c>
      <c r="B68" t="s">
        <v>24</v>
      </c>
      <c r="C68" t="s">
        <v>25</v>
      </c>
      <c r="D68">
        <v>88</v>
      </c>
      <c r="E68">
        <v>58</v>
      </c>
      <c r="F68">
        <v>30</v>
      </c>
      <c r="G68">
        <v>83000</v>
      </c>
      <c r="H68">
        <v>55000</v>
      </c>
      <c r="I68" s="1">
        <f t="shared" si="1"/>
        <v>0.66265060240963858</v>
      </c>
      <c r="J68" t="s">
        <v>12</v>
      </c>
    </row>
    <row r="69" spans="1:10" x14ac:dyDescent="0.35">
      <c r="A69">
        <v>2025</v>
      </c>
      <c r="B69" t="s">
        <v>26</v>
      </c>
      <c r="C69" t="s">
        <v>27</v>
      </c>
      <c r="D69">
        <v>90</v>
      </c>
      <c r="E69">
        <v>59</v>
      </c>
      <c r="F69">
        <v>31</v>
      </c>
      <c r="G69">
        <v>84000</v>
      </c>
      <c r="H69">
        <v>56000</v>
      </c>
      <c r="I69" s="1">
        <f t="shared" si="1"/>
        <v>0.66666666666666663</v>
      </c>
      <c r="J69" t="s">
        <v>15</v>
      </c>
    </row>
    <row r="70" spans="1:10" x14ac:dyDescent="0.35">
      <c r="A70">
        <v>2025</v>
      </c>
      <c r="B70" t="s">
        <v>28</v>
      </c>
      <c r="C70" t="s">
        <v>29</v>
      </c>
      <c r="D70">
        <v>96</v>
      </c>
      <c r="E70">
        <v>62</v>
      </c>
      <c r="F70">
        <v>34</v>
      </c>
      <c r="G70">
        <v>88000</v>
      </c>
      <c r="H70">
        <v>60000</v>
      </c>
      <c r="I70" s="1">
        <f t="shared" si="1"/>
        <v>0.68181818181818177</v>
      </c>
      <c r="J70" t="s">
        <v>12</v>
      </c>
    </row>
    <row r="71" spans="1:10" x14ac:dyDescent="0.35">
      <c r="A71">
        <v>2025</v>
      </c>
      <c r="B71" t="s">
        <v>30</v>
      </c>
      <c r="C71" t="s">
        <v>31</v>
      </c>
      <c r="D71">
        <v>84</v>
      </c>
      <c r="E71">
        <v>55</v>
      </c>
      <c r="F71">
        <v>29</v>
      </c>
      <c r="G71">
        <v>80000</v>
      </c>
      <c r="H71">
        <v>52000</v>
      </c>
      <c r="I71" s="1">
        <f t="shared" si="1"/>
        <v>0.65</v>
      </c>
      <c r="J71" t="s">
        <v>15</v>
      </c>
    </row>
    <row r="72" spans="1:10" x14ac:dyDescent="0.35">
      <c r="A72">
        <v>2025</v>
      </c>
      <c r="B72" t="s">
        <v>32</v>
      </c>
      <c r="C72" t="s">
        <v>33</v>
      </c>
      <c r="D72">
        <v>80</v>
      </c>
      <c r="E72">
        <v>53</v>
      </c>
      <c r="F72">
        <v>27</v>
      </c>
      <c r="G72">
        <v>78000</v>
      </c>
      <c r="H72">
        <v>50000</v>
      </c>
      <c r="I72" s="1">
        <f t="shared" si="1"/>
        <v>0.64102564102564108</v>
      </c>
      <c r="J72" t="s">
        <v>12</v>
      </c>
    </row>
    <row r="73" spans="1:10" x14ac:dyDescent="0.35">
      <c r="A73">
        <v>2025</v>
      </c>
      <c r="B73" t="s">
        <v>34</v>
      </c>
      <c r="C73" t="s">
        <v>35</v>
      </c>
      <c r="D73">
        <v>82</v>
      </c>
      <c r="E73">
        <v>54</v>
      </c>
      <c r="F73">
        <v>28</v>
      </c>
      <c r="G73">
        <v>79000</v>
      </c>
      <c r="H73">
        <v>51000</v>
      </c>
      <c r="I73" s="1">
        <f t="shared" si="1"/>
        <v>0.64556962025316456</v>
      </c>
      <c r="J73" t="s">
        <v>15</v>
      </c>
    </row>
    <row r="74" spans="1:10" x14ac:dyDescent="0.35">
      <c r="A74">
        <v>2026</v>
      </c>
      <c r="B74" t="s">
        <v>10</v>
      </c>
      <c r="C74" t="s">
        <v>11</v>
      </c>
      <c r="D74">
        <v>108</v>
      </c>
      <c r="E74">
        <v>70</v>
      </c>
      <c r="F74">
        <v>38</v>
      </c>
      <c r="G74">
        <v>85000</v>
      </c>
      <c r="H74">
        <v>65000</v>
      </c>
      <c r="I74" s="1">
        <f t="shared" si="1"/>
        <v>0.76470588235294112</v>
      </c>
      <c r="J74" t="s">
        <v>12</v>
      </c>
    </row>
    <row r="75" spans="1:10" x14ac:dyDescent="0.35">
      <c r="A75">
        <v>2026</v>
      </c>
      <c r="B75" t="s">
        <v>13</v>
      </c>
      <c r="C75" t="s">
        <v>14</v>
      </c>
      <c r="D75">
        <v>116</v>
      </c>
      <c r="E75">
        <v>74</v>
      </c>
      <c r="F75">
        <v>42</v>
      </c>
      <c r="G75">
        <v>88000</v>
      </c>
      <c r="H75">
        <v>70000</v>
      </c>
      <c r="I75" s="1">
        <f t="shared" si="1"/>
        <v>0.79545454545454541</v>
      </c>
      <c r="J75" t="s">
        <v>15</v>
      </c>
    </row>
    <row r="76" spans="1:10" x14ac:dyDescent="0.35">
      <c r="A76">
        <v>2026</v>
      </c>
      <c r="B76" t="s">
        <v>16</v>
      </c>
      <c r="C76" t="s">
        <v>17</v>
      </c>
      <c r="D76">
        <v>137</v>
      </c>
      <c r="E76">
        <v>85</v>
      </c>
      <c r="F76">
        <v>52</v>
      </c>
      <c r="G76">
        <v>110000</v>
      </c>
      <c r="H76">
        <v>85000</v>
      </c>
      <c r="I76" s="1">
        <f t="shared" si="1"/>
        <v>0.77272727272727271</v>
      </c>
      <c r="J76" t="s">
        <v>12</v>
      </c>
    </row>
    <row r="77" spans="1:10" x14ac:dyDescent="0.35">
      <c r="A77">
        <v>2026</v>
      </c>
      <c r="B77" t="s">
        <v>18</v>
      </c>
      <c r="C77" t="s">
        <v>19</v>
      </c>
      <c r="D77">
        <v>123</v>
      </c>
      <c r="E77">
        <v>78</v>
      </c>
      <c r="F77">
        <v>45</v>
      </c>
      <c r="G77">
        <v>102000</v>
      </c>
      <c r="H77">
        <v>78000</v>
      </c>
      <c r="I77" s="1">
        <f t="shared" si="1"/>
        <v>0.76470588235294112</v>
      </c>
      <c r="J77" t="s">
        <v>15</v>
      </c>
    </row>
    <row r="78" spans="1:10" x14ac:dyDescent="0.35">
      <c r="A78">
        <v>2026</v>
      </c>
      <c r="B78" t="s">
        <v>20</v>
      </c>
      <c r="C78" t="s">
        <v>21</v>
      </c>
      <c r="D78">
        <v>112</v>
      </c>
      <c r="E78">
        <v>72</v>
      </c>
      <c r="F78">
        <v>40</v>
      </c>
      <c r="G78">
        <v>95000</v>
      </c>
      <c r="H78">
        <v>72000</v>
      </c>
      <c r="I78" s="1">
        <f t="shared" si="1"/>
        <v>0.75789473684210529</v>
      </c>
      <c r="J78" t="s">
        <v>12</v>
      </c>
    </row>
    <row r="79" spans="1:10" x14ac:dyDescent="0.35">
      <c r="A79">
        <v>2026</v>
      </c>
      <c r="B79" t="s">
        <v>22</v>
      </c>
      <c r="C79" t="s">
        <v>23</v>
      </c>
      <c r="D79">
        <v>101</v>
      </c>
      <c r="E79">
        <v>65</v>
      </c>
      <c r="F79">
        <v>36</v>
      </c>
      <c r="G79">
        <v>90000</v>
      </c>
      <c r="H79">
        <v>65000</v>
      </c>
      <c r="I79" s="1">
        <f t="shared" si="1"/>
        <v>0.72222222222222221</v>
      </c>
      <c r="J79" t="s">
        <v>15</v>
      </c>
    </row>
    <row r="80" spans="1:10" x14ac:dyDescent="0.35">
      <c r="A80">
        <v>2026</v>
      </c>
      <c r="B80" t="s">
        <v>24</v>
      </c>
      <c r="C80" t="s">
        <v>25</v>
      </c>
      <c r="D80">
        <v>97</v>
      </c>
      <c r="E80">
        <v>63</v>
      </c>
      <c r="F80">
        <v>34</v>
      </c>
      <c r="G80">
        <v>88000</v>
      </c>
      <c r="H80">
        <v>62000</v>
      </c>
      <c r="I80" s="1">
        <f t="shared" si="1"/>
        <v>0.70454545454545459</v>
      </c>
      <c r="J80" t="s">
        <v>12</v>
      </c>
    </row>
    <row r="81" spans="1:10" x14ac:dyDescent="0.35">
      <c r="A81">
        <v>2026</v>
      </c>
      <c r="B81" t="s">
        <v>26</v>
      </c>
      <c r="C81" t="s">
        <v>27</v>
      </c>
      <c r="D81">
        <v>99</v>
      </c>
      <c r="E81">
        <v>64</v>
      </c>
      <c r="F81">
        <v>35</v>
      </c>
      <c r="G81">
        <v>89000</v>
      </c>
      <c r="H81">
        <v>63000</v>
      </c>
      <c r="I81" s="1">
        <f t="shared" si="1"/>
        <v>0.7078651685393258</v>
      </c>
      <c r="J81" t="s">
        <v>15</v>
      </c>
    </row>
    <row r="82" spans="1:10" x14ac:dyDescent="0.35">
      <c r="A82">
        <v>2026</v>
      </c>
      <c r="B82" t="s">
        <v>28</v>
      </c>
      <c r="C82" t="s">
        <v>29</v>
      </c>
      <c r="D82">
        <v>106</v>
      </c>
      <c r="E82">
        <v>68</v>
      </c>
      <c r="F82">
        <v>38</v>
      </c>
      <c r="G82">
        <v>92000</v>
      </c>
      <c r="H82">
        <v>68000</v>
      </c>
      <c r="I82" s="1">
        <f t="shared" si="1"/>
        <v>0.73913043478260865</v>
      </c>
      <c r="J82" t="s">
        <v>12</v>
      </c>
    </row>
    <row r="83" spans="1:10" x14ac:dyDescent="0.35">
      <c r="A83">
        <v>2026</v>
      </c>
      <c r="B83" t="s">
        <v>30</v>
      </c>
      <c r="C83" t="s">
        <v>31</v>
      </c>
      <c r="D83">
        <v>93</v>
      </c>
      <c r="E83">
        <v>60</v>
      </c>
      <c r="F83">
        <v>33</v>
      </c>
      <c r="G83">
        <v>87000</v>
      </c>
      <c r="H83">
        <v>60000</v>
      </c>
      <c r="I83" s="1">
        <f t="shared" si="1"/>
        <v>0.68965517241379315</v>
      </c>
      <c r="J83" t="s">
        <v>15</v>
      </c>
    </row>
    <row r="84" spans="1:10" x14ac:dyDescent="0.35">
      <c r="A84">
        <v>2026</v>
      </c>
      <c r="B84" t="s">
        <v>32</v>
      </c>
      <c r="C84" t="s">
        <v>33</v>
      </c>
      <c r="D84">
        <v>89</v>
      </c>
      <c r="E84">
        <v>58</v>
      </c>
      <c r="F84">
        <v>31</v>
      </c>
      <c r="G84">
        <v>85000</v>
      </c>
      <c r="H84">
        <v>58000</v>
      </c>
      <c r="I84" s="1">
        <f t="shared" si="1"/>
        <v>0.68235294117647061</v>
      </c>
      <c r="J84" t="s">
        <v>12</v>
      </c>
    </row>
    <row r="85" spans="1:10" x14ac:dyDescent="0.35">
      <c r="A85">
        <v>2026</v>
      </c>
      <c r="B85" t="s">
        <v>34</v>
      </c>
      <c r="C85" t="s">
        <v>35</v>
      </c>
      <c r="D85">
        <v>91</v>
      </c>
      <c r="E85">
        <v>59</v>
      </c>
      <c r="F85">
        <v>32</v>
      </c>
      <c r="G85">
        <v>86000</v>
      </c>
      <c r="H85">
        <v>59000</v>
      </c>
      <c r="I85" s="1">
        <f t="shared" si="1"/>
        <v>0.68604651162790697</v>
      </c>
      <c r="J85" t="s">
        <v>15</v>
      </c>
    </row>
    <row r="86" spans="1:10" x14ac:dyDescent="0.35">
      <c r="A86">
        <v>2021</v>
      </c>
      <c r="B86" t="s">
        <v>10</v>
      </c>
      <c r="C86" t="s">
        <v>11</v>
      </c>
      <c r="D86">
        <v>40</v>
      </c>
      <c r="E86">
        <v>28</v>
      </c>
      <c r="F86">
        <v>12</v>
      </c>
      <c r="G86">
        <v>40000</v>
      </c>
      <c r="H86">
        <v>18000</v>
      </c>
      <c r="I86" s="1">
        <f t="shared" si="1"/>
        <v>0.45</v>
      </c>
      <c r="J86" t="s">
        <v>12</v>
      </c>
    </row>
    <row r="87" spans="1:10" x14ac:dyDescent="0.35">
      <c r="A87">
        <v>2021</v>
      </c>
      <c r="B87" t="s">
        <v>13</v>
      </c>
      <c r="C87" t="s">
        <v>14</v>
      </c>
      <c r="D87">
        <v>44</v>
      </c>
      <c r="E87">
        <v>30</v>
      </c>
      <c r="F87">
        <v>14</v>
      </c>
      <c r="G87">
        <v>42000</v>
      </c>
      <c r="H87">
        <v>20000</v>
      </c>
      <c r="I87" s="1">
        <f t="shared" si="1"/>
        <v>0.47619047619047616</v>
      </c>
      <c r="J87" t="s">
        <v>15</v>
      </c>
    </row>
    <row r="88" spans="1:10" x14ac:dyDescent="0.35">
      <c r="A88">
        <v>2021</v>
      </c>
      <c r="B88" t="s">
        <v>16</v>
      </c>
      <c r="C88" t="s">
        <v>17</v>
      </c>
      <c r="D88">
        <v>51</v>
      </c>
      <c r="E88">
        <v>35</v>
      </c>
      <c r="F88">
        <v>16</v>
      </c>
      <c r="G88">
        <v>45000</v>
      </c>
      <c r="H88">
        <v>22000</v>
      </c>
      <c r="I88" s="1">
        <f t="shared" si="1"/>
        <v>0.48888888888888887</v>
      </c>
      <c r="J88" t="s">
        <v>12</v>
      </c>
    </row>
    <row r="89" spans="1:10" x14ac:dyDescent="0.35">
      <c r="A89">
        <v>2021</v>
      </c>
      <c r="B89" t="s">
        <v>18</v>
      </c>
      <c r="C89" t="s">
        <v>19</v>
      </c>
      <c r="D89">
        <v>48</v>
      </c>
      <c r="E89">
        <v>33</v>
      </c>
      <c r="F89">
        <v>15</v>
      </c>
      <c r="G89">
        <v>44000</v>
      </c>
      <c r="H89">
        <v>21000</v>
      </c>
      <c r="I89" s="1">
        <f t="shared" si="1"/>
        <v>0.47727272727272729</v>
      </c>
      <c r="J89" t="s">
        <v>15</v>
      </c>
    </row>
    <row r="90" spans="1:10" x14ac:dyDescent="0.35">
      <c r="A90">
        <v>2021</v>
      </c>
      <c r="B90" t="s">
        <v>20</v>
      </c>
      <c r="C90" t="s">
        <v>21</v>
      </c>
      <c r="D90">
        <v>43</v>
      </c>
      <c r="E90">
        <v>30</v>
      </c>
      <c r="F90">
        <v>13</v>
      </c>
      <c r="G90">
        <v>43000</v>
      </c>
      <c r="H90">
        <v>19500</v>
      </c>
      <c r="I90" s="1">
        <f t="shared" si="1"/>
        <v>0.45348837209302323</v>
      </c>
      <c r="J90" t="s">
        <v>12</v>
      </c>
    </row>
    <row r="91" spans="1:10" x14ac:dyDescent="0.35">
      <c r="A91">
        <v>2021</v>
      </c>
      <c r="B91" t="s">
        <v>22</v>
      </c>
      <c r="C91" t="s">
        <v>23</v>
      </c>
      <c r="D91">
        <v>40</v>
      </c>
      <c r="E91">
        <v>28</v>
      </c>
      <c r="F91">
        <v>12</v>
      </c>
      <c r="G91">
        <v>42000</v>
      </c>
      <c r="H91">
        <v>18000</v>
      </c>
      <c r="I91" s="1">
        <f t="shared" si="1"/>
        <v>0.42857142857142855</v>
      </c>
      <c r="J91" t="s">
        <v>15</v>
      </c>
    </row>
    <row r="92" spans="1:10" x14ac:dyDescent="0.35">
      <c r="A92">
        <v>2021</v>
      </c>
      <c r="B92" t="s">
        <v>24</v>
      </c>
      <c r="C92" t="s">
        <v>25</v>
      </c>
      <c r="D92">
        <v>38</v>
      </c>
      <c r="E92">
        <v>27</v>
      </c>
      <c r="F92">
        <v>11</v>
      </c>
      <c r="G92">
        <v>41000</v>
      </c>
      <c r="H92">
        <v>17000</v>
      </c>
      <c r="I92" s="1">
        <f t="shared" si="1"/>
        <v>0.41463414634146339</v>
      </c>
      <c r="J92" t="s">
        <v>12</v>
      </c>
    </row>
    <row r="93" spans="1:10" x14ac:dyDescent="0.35">
      <c r="A93">
        <v>2021</v>
      </c>
      <c r="B93" t="s">
        <v>26</v>
      </c>
      <c r="C93" t="s">
        <v>27</v>
      </c>
      <c r="D93">
        <v>41</v>
      </c>
      <c r="E93">
        <v>29</v>
      </c>
      <c r="F93">
        <v>12</v>
      </c>
      <c r="G93">
        <v>42000</v>
      </c>
      <c r="H93">
        <v>18000</v>
      </c>
      <c r="I93" s="1">
        <f t="shared" si="1"/>
        <v>0.42857142857142855</v>
      </c>
      <c r="J93" t="s">
        <v>15</v>
      </c>
    </row>
    <row r="94" spans="1:10" x14ac:dyDescent="0.35">
      <c r="A94">
        <v>2021</v>
      </c>
      <c r="B94" t="s">
        <v>28</v>
      </c>
      <c r="C94" t="s">
        <v>29</v>
      </c>
      <c r="D94">
        <v>45</v>
      </c>
      <c r="E94">
        <v>31</v>
      </c>
      <c r="F94">
        <v>14</v>
      </c>
      <c r="G94">
        <v>43000</v>
      </c>
      <c r="H94">
        <v>20000</v>
      </c>
      <c r="I94" s="1">
        <f t="shared" si="1"/>
        <v>0.46511627906976744</v>
      </c>
      <c r="J94" t="s">
        <v>12</v>
      </c>
    </row>
    <row r="95" spans="1:10" x14ac:dyDescent="0.35">
      <c r="A95">
        <v>2021</v>
      </c>
      <c r="B95" t="s">
        <v>30</v>
      </c>
      <c r="C95" t="s">
        <v>31</v>
      </c>
      <c r="D95">
        <v>35</v>
      </c>
      <c r="E95">
        <v>25</v>
      </c>
      <c r="F95">
        <v>10</v>
      </c>
      <c r="G95">
        <v>39000</v>
      </c>
      <c r="H95">
        <v>16000</v>
      </c>
      <c r="I95" s="1">
        <f t="shared" si="1"/>
        <v>0.41025641025641024</v>
      </c>
      <c r="J95" t="s">
        <v>15</v>
      </c>
    </row>
    <row r="96" spans="1:10" x14ac:dyDescent="0.35">
      <c r="A96">
        <v>2021</v>
      </c>
      <c r="B96" t="s">
        <v>32</v>
      </c>
      <c r="C96" t="s">
        <v>33</v>
      </c>
      <c r="D96">
        <v>33</v>
      </c>
      <c r="E96">
        <v>24</v>
      </c>
      <c r="F96">
        <v>9</v>
      </c>
      <c r="G96">
        <v>38000</v>
      </c>
      <c r="H96">
        <v>15000</v>
      </c>
      <c r="I96" s="1">
        <f t="shared" si="1"/>
        <v>0.39473684210526316</v>
      </c>
      <c r="J96" t="s">
        <v>12</v>
      </c>
    </row>
    <row r="97" spans="1:10" x14ac:dyDescent="0.35">
      <c r="A97">
        <v>2021</v>
      </c>
      <c r="B97" t="s">
        <v>34</v>
      </c>
      <c r="C97" t="s">
        <v>35</v>
      </c>
      <c r="D97">
        <v>37</v>
      </c>
      <c r="E97">
        <v>26</v>
      </c>
      <c r="F97">
        <v>11</v>
      </c>
      <c r="G97">
        <v>40000</v>
      </c>
      <c r="H97">
        <v>16500</v>
      </c>
      <c r="I97" s="1">
        <f t="shared" si="1"/>
        <v>0.41249999999999998</v>
      </c>
      <c r="J97" t="s">
        <v>15</v>
      </c>
    </row>
    <row r="98" spans="1:10" x14ac:dyDescent="0.35">
      <c r="A98">
        <v>2022</v>
      </c>
      <c r="B98" t="s">
        <v>10</v>
      </c>
      <c r="C98" t="s">
        <v>11</v>
      </c>
      <c r="D98">
        <v>60</v>
      </c>
      <c r="E98">
        <v>40</v>
      </c>
      <c r="F98">
        <v>20</v>
      </c>
      <c r="G98">
        <v>50000</v>
      </c>
      <c r="H98">
        <v>30000</v>
      </c>
      <c r="I98" s="1">
        <f t="shared" si="1"/>
        <v>0.6</v>
      </c>
      <c r="J98" t="s">
        <v>12</v>
      </c>
    </row>
    <row r="99" spans="1:10" x14ac:dyDescent="0.35">
      <c r="A99">
        <v>2022</v>
      </c>
      <c r="B99" t="s">
        <v>13</v>
      </c>
      <c r="C99" t="s">
        <v>14</v>
      </c>
      <c r="D99">
        <v>64</v>
      </c>
      <c r="E99">
        <v>42</v>
      </c>
      <c r="F99">
        <v>22</v>
      </c>
      <c r="G99">
        <v>52000</v>
      </c>
      <c r="H99">
        <v>32000</v>
      </c>
      <c r="I99" s="1">
        <f t="shared" si="1"/>
        <v>0.61538461538461542</v>
      </c>
      <c r="J99" t="s">
        <v>15</v>
      </c>
    </row>
    <row r="100" spans="1:10" x14ac:dyDescent="0.35">
      <c r="A100">
        <v>2022</v>
      </c>
      <c r="B100" t="s">
        <v>16</v>
      </c>
      <c r="C100" t="s">
        <v>17</v>
      </c>
      <c r="D100">
        <v>70</v>
      </c>
      <c r="E100">
        <v>45</v>
      </c>
      <c r="F100">
        <v>25</v>
      </c>
      <c r="G100">
        <v>55000</v>
      </c>
      <c r="H100">
        <v>35000</v>
      </c>
      <c r="I100" s="1">
        <f t="shared" si="1"/>
        <v>0.63636363636363635</v>
      </c>
      <c r="J100" t="s">
        <v>12</v>
      </c>
    </row>
    <row r="101" spans="1:10" x14ac:dyDescent="0.35">
      <c r="A101">
        <v>2022</v>
      </c>
      <c r="B101" t="s">
        <v>18</v>
      </c>
      <c r="C101" t="s">
        <v>19</v>
      </c>
      <c r="D101">
        <v>66</v>
      </c>
      <c r="E101">
        <v>43</v>
      </c>
      <c r="F101">
        <v>23</v>
      </c>
      <c r="G101">
        <v>54000</v>
      </c>
      <c r="H101">
        <v>33000</v>
      </c>
      <c r="I101" s="1">
        <f t="shared" si="1"/>
        <v>0.61111111111111116</v>
      </c>
      <c r="J101" t="s">
        <v>15</v>
      </c>
    </row>
    <row r="102" spans="1:10" x14ac:dyDescent="0.35">
      <c r="A102">
        <v>2022</v>
      </c>
      <c r="B102" t="s">
        <v>20</v>
      </c>
      <c r="C102" t="s">
        <v>21</v>
      </c>
      <c r="D102">
        <v>62</v>
      </c>
      <c r="E102">
        <v>41</v>
      </c>
      <c r="F102">
        <v>21</v>
      </c>
      <c r="G102">
        <v>53000</v>
      </c>
      <c r="H102">
        <v>31000</v>
      </c>
      <c r="I102" s="1">
        <f t="shared" si="1"/>
        <v>0.58490566037735847</v>
      </c>
      <c r="J102" t="s">
        <v>12</v>
      </c>
    </row>
    <row r="103" spans="1:10" x14ac:dyDescent="0.35">
      <c r="A103">
        <v>2022</v>
      </c>
      <c r="B103" t="s">
        <v>22</v>
      </c>
      <c r="C103" t="s">
        <v>23</v>
      </c>
      <c r="D103">
        <v>58</v>
      </c>
      <c r="E103">
        <v>39</v>
      </c>
      <c r="F103">
        <v>19</v>
      </c>
      <c r="G103">
        <v>52000</v>
      </c>
      <c r="H103">
        <v>29000</v>
      </c>
      <c r="I103" s="1">
        <f t="shared" si="1"/>
        <v>0.55769230769230771</v>
      </c>
      <c r="J103" t="s">
        <v>15</v>
      </c>
    </row>
    <row r="104" spans="1:10" x14ac:dyDescent="0.35">
      <c r="A104">
        <v>2022</v>
      </c>
      <c r="B104" t="s">
        <v>24</v>
      </c>
      <c r="C104" t="s">
        <v>25</v>
      </c>
      <c r="D104">
        <v>56</v>
      </c>
      <c r="E104">
        <v>38</v>
      </c>
      <c r="F104">
        <v>18</v>
      </c>
      <c r="G104">
        <v>51000</v>
      </c>
      <c r="H104">
        <v>28000</v>
      </c>
      <c r="I104" s="1">
        <f t="shared" si="1"/>
        <v>0.5490196078431373</v>
      </c>
      <c r="J104" t="s">
        <v>12</v>
      </c>
    </row>
    <row r="105" spans="1:10" x14ac:dyDescent="0.35">
      <c r="A105">
        <v>2022</v>
      </c>
      <c r="B105" t="s">
        <v>26</v>
      </c>
      <c r="C105" t="s">
        <v>27</v>
      </c>
      <c r="D105">
        <v>60</v>
      </c>
      <c r="E105">
        <v>40</v>
      </c>
      <c r="F105">
        <v>20</v>
      </c>
      <c r="G105">
        <v>52000</v>
      </c>
      <c r="H105">
        <v>30000</v>
      </c>
      <c r="I105" s="1">
        <f t="shared" si="1"/>
        <v>0.57692307692307687</v>
      </c>
      <c r="J105" t="s">
        <v>15</v>
      </c>
    </row>
    <row r="106" spans="1:10" x14ac:dyDescent="0.35">
      <c r="A106">
        <v>2022</v>
      </c>
      <c r="B106" t="s">
        <v>28</v>
      </c>
      <c r="C106" t="s">
        <v>29</v>
      </c>
      <c r="D106">
        <v>64</v>
      </c>
      <c r="E106">
        <v>42</v>
      </c>
      <c r="F106">
        <v>22</v>
      </c>
      <c r="G106">
        <v>53000</v>
      </c>
      <c r="H106">
        <v>32000</v>
      </c>
      <c r="I106" s="1">
        <f t="shared" si="1"/>
        <v>0.60377358490566035</v>
      </c>
      <c r="J106" t="s">
        <v>12</v>
      </c>
    </row>
    <row r="107" spans="1:10" x14ac:dyDescent="0.35">
      <c r="A107">
        <v>2022</v>
      </c>
      <c r="B107" t="s">
        <v>30</v>
      </c>
      <c r="C107" t="s">
        <v>31</v>
      </c>
      <c r="D107">
        <v>52</v>
      </c>
      <c r="E107">
        <v>35</v>
      </c>
      <c r="F107">
        <v>17</v>
      </c>
      <c r="G107">
        <v>48000</v>
      </c>
      <c r="H107">
        <v>26000</v>
      </c>
      <c r="I107" s="1">
        <f t="shared" si="1"/>
        <v>0.54166666666666663</v>
      </c>
      <c r="J107" t="s">
        <v>15</v>
      </c>
    </row>
    <row r="108" spans="1:10" x14ac:dyDescent="0.35">
      <c r="A108">
        <v>2022</v>
      </c>
      <c r="B108" t="s">
        <v>32</v>
      </c>
      <c r="C108" t="s">
        <v>33</v>
      </c>
      <c r="D108">
        <v>50</v>
      </c>
      <c r="E108">
        <v>34</v>
      </c>
      <c r="F108">
        <v>16</v>
      </c>
      <c r="G108">
        <v>47000</v>
      </c>
      <c r="H108">
        <v>25000</v>
      </c>
      <c r="I108" s="1">
        <f t="shared" si="1"/>
        <v>0.53191489361702127</v>
      </c>
      <c r="J108" t="s">
        <v>12</v>
      </c>
    </row>
    <row r="109" spans="1:10" x14ac:dyDescent="0.35">
      <c r="A109">
        <v>2022</v>
      </c>
      <c r="B109" t="s">
        <v>34</v>
      </c>
      <c r="C109" t="s">
        <v>35</v>
      </c>
      <c r="D109">
        <v>54</v>
      </c>
      <c r="E109">
        <v>36</v>
      </c>
      <c r="F109">
        <v>18</v>
      </c>
      <c r="G109">
        <v>49000</v>
      </c>
      <c r="H109">
        <v>27000</v>
      </c>
      <c r="I109" s="1">
        <f t="shared" si="1"/>
        <v>0.55102040816326525</v>
      </c>
      <c r="J109" t="s">
        <v>15</v>
      </c>
    </row>
    <row r="110" spans="1:10" x14ac:dyDescent="0.35">
      <c r="A110">
        <v>2023</v>
      </c>
      <c r="B110" t="s">
        <v>10</v>
      </c>
      <c r="C110" t="s">
        <v>11</v>
      </c>
      <c r="D110">
        <v>80</v>
      </c>
      <c r="E110">
        <v>52</v>
      </c>
      <c r="F110">
        <v>28</v>
      </c>
      <c r="G110">
        <v>60000</v>
      </c>
      <c r="H110">
        <v>42000</v>
      </c>
      <c r="I110" s="1">
        <f t="shared" si="1"/>
        <v>0.7</v>
      </c>
      <c r="J110" t="s">
        <v>12</v>
      </c>
    </row>
    <row r="111" spans="1:10" x14ac:dyDescent="0.35">
      <c r="A111">
        <v>2023</v>
      </c>
      <c r="B111" t="s">
        <v>13</v>
      </c>
      <c r="C111" t="s">
        <v>14</v>
      </c>
      <c r="D111">
        <v>90</v>
      </c>
      <c r="E111">
        <v>58</v>
      </c>
      <c r="F111">
        <v>32</v>
      </c>
      <c r="G111">
        <v>65000</v>
      </c>
      <c r="H111">
        <v>48000</v>
      </c>
      <c r="I111" s="1">
        <f t="shared" si="1"/>
        <v>0.7384615384615385</v>
      </c>
      <c r="J111" t="s">
        <v>15</v>
      </c>
    </row>
    <row r="112" spans="1:10" x14ac:dyDescent="0.35">
      <c r="A112">
        <v>2023</v>
      </c>
      <c r="B112" t="s">
        <v>16</v>
      </c>
      <c r="C112" t="s">
        <v>17</v>
      </c>
      <c r="D112">
        <v>110</v>
      </c>
      <c r="E112">
        <v>70</v>
      </c>
      <c r="F112">
        <v>40</v>
      </c>
      <c r="G112">
        <v>95000</v>
      </c>
      <c r="H112">
        <v>65000</v>
      </c>
      <c r="I112" s="1">
        <f t="shared" si="1"/>
        <v>0.68421052631578949</v>
      </c>
      <c r="J112" t="s">
        <v>12</v>
      </c>
    </row>
    <row r="113" spans="1:10" x14ac:dyDescent="0.35">
      <c r="A113">
        <v>2023</v>
      </c>
      <c r="B113" t="s">
        <v>18</v>
      </c>
      <c r="C113" t="s">
        <v>19</v>
      </c>
      <c r="D113">
        <v>95</v>
      </c>
      <c r="E113">
        <v>60</v>
      </c>
      <c r="F113">
        <v>35</v>
      </c>
      <c r="G113">
        <v>90000</v>
      </c>
      <c r="H113">
        <v>58000</v>
      </c>
      <c r="I113" s="1">
        <f t="shared" si="1"/>
        <v>0.64444444444444449</v>
      </c>
      <c r="J113" t="s">
        <v>15</v>
      </c>
    </row>
    <row r="114" spans="1:10" x14ac:dyDescent="0.35">
      <c r="A114">
        <v>2023</v>
      </c>
      <c r="B114" t="s">
        <v>20</v>
      </c>
      <c r="C114" t="s">
        <v>21</v>
      </c>
      <c r="D114">
        <v>85</v>
      </c>
      <c r="E114">
        <v>55</v>
      </c>
      <c r="F114">
        <v>30</v>
      </c>
      <c r="G114">
        <v>78000</v>
      </c>
      <c r="H114">
        <v>50000</v>
      </c>
      <c r="I114" s="1">
        <f t="shared" si="1"/>
        <v>0.64102564102564108</v>
      </c>
      <c r="J114" t="s">
        <v>12</v>
      </c>
    </row>
    <row r="115" spans="1:10" x14ac:dyDescent="0.35">
      <c r="A115">
        <v>2023</v>
      </c>
      <c r="B115" t="s">
        <v>22</v>
      </c>
      <c r="C115" t="s">
        <v>23</v>
      </c>
      <c r="D115">
        <v>75</v>
      </c>
      <c r="E115">
        <v>50</v>
      </c>
      <c r="F115">
        <v>25</v>
      </c>
      <c r="G115">
        <v>70000</v>
      </c>
      <c r="H115">
        <v>42000</v>
      </c>
      <c r="I115" s="1">
        <f t="shared" si="1"/>
        <v>0.6</v>
      </c>
      <c r="J115" t="s">
        <v>15</v>
      </c>
    </row>
    <row r="116" spans="1:10" x14ac:dyDescent="0.35">
      <c r="A116">
        <v>2023</v>
      </c>
      <c r="B116" t="s">
        <v>24</v>
      </c>
      <c r="C116" t="s">
        <v>25</v>
      </c>
      <c r="D116">
        <v>70</v>
      </c>
      <c r="E116">
        <v>48</v>
      </c>
      <c r="F116">
        <v>22</v>
      </c>
      <c r="G116">
        <v>68000</v>
      </c>
      <c r="H116">
        <v>39000</v>
      </c>
      <c r="I116" s="1">
        <f t="shared" si="1"/>
        <v>0.57352941176470584</v>
      </c>
      <c r="J116" t="s">
        <v>12</v>
      </c>
    </row>
    <row r="117" spans="1:10" x14ac:dyDescent="0.35">
      <c r="A117">
        <v>2023</v>
      </c>
      <c r="B117" t="s">
        <v>26</v>
      </c>
      <c r="C117" t="s">
        <v>27</v>
      </c>
      <c r="D117">
        <v>69</v>
      </c>
      <c r="E117">
        <v>45</v>
      </c>
      <c r="F117">
        <v>24</v>
      </c>
      <c r="G117">
        <v>72000</v>
      </c>
      <c r="H117">
        <v>41000</v>
      </c>
      <c r="I117" s="1">
        <f t="shared" si="1"/>
        <v>0.56944444444444442</v>
      </c>
      <c r="J117" t="s">
        <v>15</v>
      </c>
    </row>
    <row r="118" spans="1:10" x14ac:dyDescent="0.35">
      <c r="A118">
        <v>2023</v>
      </c>
      <c r="B118" t="s">
        <v>28</v>
      </c>
      <c r="C118" t="s">
        <v>29</v>
      </c>
      <c r="D118">
        <v>80</v>
      </c>
      <c r="E118">
        <v>53</v>
      </c>
      <c r="F118">
        <v>27</v>
      </c>
      <c r="G118">
        <v>75000</v>
      </c>
      <c r="H118">
        <v>47000</v>
      </c>
      <c r="I118" s="1">
        <f t="shared" si="1"/>
        <v>0.62666666666666671</v>
      </c>
      <c r="J118" t="s">
        <v>12</v>
      </c>
    </row>
    <row r="119" spans="1:10" x14ac:dyDescent="0.35">
      <c r="A119">
        <v>2023</v>
      </c>
      <c r="B119" t="s">
        <v>30</v>
      </c>
      <c r="C119" t="s">
        <v>31</v>
      </c>
      <c r="D119">
        <v>60</v>
      </c>
      <c r="E119">
        <v>40</v>
      </c>
      <c r="F119">
        <v>20</v>
      </c>
      <c r="G119">
        <v>60000</v>
      </c>
      <c r="H119">
        <v>35000</v>
      </c>
      <c r="I119" s="1">
        <f t="shared" si="1"/>
        <v>0.58333333333333337</v>
      </c>
      <c r="J119" t="s">
        <v>15</v>
      </c>
    </row>
    <row r="120" spans="1:10" x14ac:dyDescent="0.35">
      <c r="A120">
        <v>2023</v>
      </c>
      <c r="B120" t="s">
        <v>32</v>
      </c>
      <c r="C120" t="s">
        <v>33</v>
      </c>
      <c r="D120">
        <v>56</v>
      </c>
      <c r="E120">
        <v>38</v>
      </c>
      <c r="F120">
        <v>18</v>
      </c>
      <c r="G120">
        <v>55000</v>
      </c>
      <c r="H120">
        <v>30000</v>
      </c>
      <c r="I120" s="1">
        <f t="shared" si="1"/>
        <v>0.54545454545454541</v>
      </c>
      <c r="J120" t="s">
        <v>12</v>
      </c>
    </row>
    <row r="121" spans="1:10" x14ac:dyDescent="0.35">
      <c r="A121">
        <v>2023</v>
      </c>
      <c r="B121" t="s">
        <v>34</v>
      </c>
      <c r="C121" t="s">
        <v>35</v>
      </c>
      <c r="D121">
        <v>63</v>
      </c>
      <c r="E121">
        <v>42</v>
      </c>
      <c r="F121">
        <v>21</v>
      </c>
      <c r="G121">
        <v>62000</v>
      </c>
      <c r="H121">
        <v>36000</v>
      </c>
      <c r="I121" s="1">
        <f t="shared" si="1"/>
        <v>0.58064516129032262</v>
      </c>
      <c r="J121" t="s">
        <v>15</v>
      </c>
    </row>
    <row r="122" spans="1:10" x14ac:dyDescent="0.35">
      <c r="A122">
        <v>2021</v>
      </c>
      <c r="B122" t="s">
        <v>10</v>
      </c>
      <c r="C122" t="s">
        <v>36</v>
      </c>
      <c r="D122">
        <v>34</v>
      </c>
      <c r="E122">
        <v>24</v>
      </c>
      <c r="F122">
        <v>10</v>
      </c>
      <c r="G122">
        <v>37000</v>
      </c>
      <c r="H122">
        <v>15000</v>
      </c>
      <c r="I122" s="1">
        <f t="shared" si="1"/>
        <v>0.40540540540540543</v>
      </c>
      <c r="J122" t="s">
        <v>12</v>
      </c>
    </row>
    <row r="123" spans="1:10" x14ac:dyDescent="0.35">
      <c r="A123">
        <v>2021</v>
      </c>
      <c r="B123" t="s">
        <v>13</v>
      </c>
      <c r="C123" t="s">
        <v>37</v>
      </c>
      <c r="D123">
        <v>36</v>
      </c>
      <c r="E123">
        <v>25</v>
      </c>
      <c r="F123">
        <v>11</v>
      </c>
      <c r="G123">
        <v>38000</v>
      </c>
      <c r="H123">
        <v>16000</v>
      </c>
      <c r="I123" s="1">
        <f t="shared" si="1"/>
        <v>0.42105263157894735</v>
      </c>
      <c r="J123" t="s">
        <v>15</v>
      </c>
    </row>
    <row r="124" spans="1:10" x14ac:dyDescent="0.35">
      <c r="A124">
        <v>2021</v>
      </c>
      <c r="B124" t="s">
        <v>16</v>
      </c>
      <c r="C124" t="s">
        <v>38</v>
      </c>
      <c r="D124">
        <v>41</v>
      </c>
      <c r="E124">
        <v>28</v>
      </c>
      <c r="F124">
        <v>13</v>
      </c>
      <c r="G124">
        <v>40000</v>
      </c>
      <c r="H124">
        <v>17500</v>
      </c>
      <c r="I124" s="1">
        <f t="shared" si="1"/>
        <v>0.4375</v>
      </c>
      <c r="J124" t="s">
        <v>12</v>
      </c>
    </row>
    <row r="125" spans="1:10" x14ac:dyDescent="0.35">
      <c r="A125">
        <v>2021</v>
      </c>
      <c r="B125" t="s">
        <v>18</v>
      </c>
      <c r="C125" t="s">
        <v>39</v>
      </c>
      <c r="D125">
        <v>39</v>
      </c>
      <c r="E125">
        <v>27</v>
      </c>
      <c r="F125">
        <v>12</v>
      </c>
      <c r="G125">
        <v>39500</v>
      </c>
      <c r="H125">
        <v>17000</v>
      </c>
      <c r="I125" s="1">
        <f t="shared" si="1"/>
        <v>0.43037974683544306</v>
      </c>
      <c r="J125" t="s">
        <v>15</v>
      </c>
    </row>
    <row r="126" spans="1:10" x14ac:dyDescent="0.35">
      <c r="A126">
        <v>2021</v>
      </c>
      <c r="B126" t="s">
        <v>20</v>
      </c>
      <c r="C126" t="s">
        <v>40</v>
      </c>
      <c r="D126">
        <v>37</v>
      </c>
      <c r="E126">
        <v>26</v>
      </c>
      <c r="F126">
        <v>11</v>
      </c>
      <c r="G126">
        <v>39000</v>
      </c>
      <c r="H126">
        <v>16500</v>
      </c>
      <c r="I126" s="1">
        <f t="shared" si="1"/>
        <v>0.42307692307692307</v>
      </c>
      <c r="J126" t="s">
        <v>12</v>
      </c>
    </row>
    <row r="127" spans="1:10" x14ac:dyDescent="0.35">
      <c r="A127">
        <v>2021</v>
      </c>
      <c r="B127" t="s">
        <v>22</v>
      </c>
      <c r="C127" t="s">
        <v>41</v>
      </c>
      <c r="D127">
        <v>35</v>
      </c>
      <c r="E127">
        <v>25</v>
      </c>
      <c r="F127">
        <v>10</v>
      </c>
      <c r="G127">
        <v>38000</v>
      </c>
      <c r="H127">
        <v>16000</v>
      </c>
      <c r="I127" s="1">
        <f t="shared" si="1"/>
        <v>0.42105263157894735</v>
      </c>
      <c r="J127" t="s">
        <v>15</v>
      </c>
    </row>
    <row r="128" spans="1:10" x14ac:dyDescent="0.35">
      <c r="A128">
        <v>2021</v>
      </c>
      <c r="B128" t="s">
        <v>24</v>
      </c>
      <c r="C128" t="s">
        <v>42</v>
      </c>
      <c r="D128">
        <v>32</v>
      </c>
      <c r="E128">
        <v>23</v>
      </c>
      <c r="F128">
        <v>9</v>
      </c>
      <c r="G128">
        <v>37000</v>
      </c>
      <c r="H128">
        <v>15000</v>
      </c>
      <c r="I128" s="1">
        <f t="shared" si="1"/>
        <v>0.40540540540540543</v>
      </c>
      <c r="J128" t="s">
        <v>12</v>
      </c>
    </row>
    <row r="129" spans="1:10" x14ac:dyDescent="0.35">
      <c r="A129">
        <v>2021</v>
      </c>
      <c r="B129" t="s">
        <v>26</v>
      </c>
      <c r="C129" t="s">
        <v>43</v>
      </c>
      <c r="D129">
        <v>34</v>
      </c>
      <c r="E129">
        <v>24</v>
      </c>
      <c r="F129">
        <v>10</v>
      </c>
      <c r="G129">
        <v>37500</v>
      </c>
      <c r="H129">
        <v>15500</v>
      </c>
      <c r="I129" s="1">
        <f t="shared" si="1"/>
        <v>0.41333333333333333</v>
      </c>
      <c r="J129" t="s">
        <v>15</v>
      </c>
    </row>
    <row r="130" spans="1:10" x14ac:dyDescent="0.35">
      <c r="A130">
        <v>2021</v>
      </c>
      <c r="B130" t="s">
        <v>28</v>
      </c>
      <c r="C130" t="s">
        <v>44</v>
      </c>
      <c r="D130">
        <v>37</v>
      </c>
      <c r="E130">
        <v>26</v>
      </c>
      <c r="F130">
        <v>11</v>
      </c>
      <c r="G130">
        <v>38500</v>
      </c>
      <c r="H130">
        <v>16500</v>
      </c>
      <c r="I130" s="1">
        <f t="shared" si="1"/>
        <v>0.42857142857142855</v>
      </c>
      <c r="J130" t="s">
        <v>12</v>
      </c>
    </row>
    <row r="131" spans="1:10" x14ac:dyDescent="0.35">
      <c r="A131">
        <v>2021</v>
      </c>
      <c r="B131" t="s">
        <v>30</v>
      </c>
      <c r="C131" t="s">
        <v>45</v>
      </c>
      <c r="D131">
        <v>31</v>
      </c>
      <c r="E131">
        <v>22</v>
      </c>
      <c r="F131">
        <v>9</v>
      </c>
      <c r="G131">
        <v>36000</v>
      </c>
      <c r="H131">
        <v>14500</v>
      </c>
      <c r="I131" s="1">
        <f t="shared" ref="I131:I194" si="2">H131/G131</f>
        <v>0.40277777777777779</v>
      </c>
      <c r="J131" t="s">
        <v>15</v>
      </c>
    </row>
    <row r="132" spans="1:10" x14ac:dyDescent="0.35">
      <c r="A132">
        <v>2021</v>
      </c>
      <c r="B132" t="s">
        <v>32</v>
      </c>
      <c r="C132" t="s">
        <v>46</v>
      </c>
      <c r="D132">
        <v>29</v>
      </c>
      <c r="E132">
        <v>21</v>
      </c>
      <c r="F132">
        <v>8</v>
      </c>
      <c r="G132">
        <v>35000</v>
      </c>
      <c r="H132">
        <v>14000</v>
      </c>
      <c r="I132" s="1">
        <f t="shared" si="2"/>
        <v>0.4</v>
      </c>
      <c r="J132" t="s">
        <v>12</v>
      </c>
    </row>
    <row r="133" spans="1:10" x14ac:dyDescent="0.35">
      <c r="A133">
        <v>2021</v>
      </c>
      <c r="B133" t="s">
        <v>34</v>
      </c>
      <c r="C133" t="s">
        <v>47</v>
      </c>
      <c r="D133">
        <v>31</v>
      </c>
      <c r="E133">
        <v>22</v>
      </c>
      <c r="F133">
        <v>9</v>
      </c>
      <c r="G133">
        <v>36000</v>
      </c>
      <c r="H133">
        <v>14500</v>
      </c>
      <c r="I133" s="1">
        <f t="shared" si="2"/>
        <v>0.40277777777777779</v>
      </c>
      <c r="J133" t="s">
        <v>15</v>
      </c>
    </row>
    <row r="134" spans="1:10" x14ac:dyDescent="0.35">
      <c r="A134">
        <v>2025</v>
      </c>
      <c r="B134" t="s">
        <v>10</v>
      </c>
      <c r="C134" t="s">
        <v>11</v>
      </c>
      <c r="D134">
        <v>102</v>
      </c>
      <c r="E134">
        <v>66</v>
      </c>
      <c r="F134">
        <v>36</v>
      </c>
      <c r="G134">
        <v>81000</v>
      </c>
      <c r="H134">
        <v>61000</v>
      </c>
      <c r="I134" s="1">
        <f t="shared" si="2"/>
        <v>0.75308641975308643</v>
      </c>
      <c r="J134" t="s">
        <v>12</v>
      </c>
    </row>
    <row r="135" spans="1:10" x14ac:dyDescent="0.35">
      <c r="A135">
        <v>2025</v>
      </c>
      <c r="B135" t="s">
        <v>13</v>
      </c>
      <c r="C135" t="s">
        <v>14</v>
      </c>
      <c r="D135">
        <v>108</v>
      </c>
      <c r="E135">
        <v>69</v>
      </c>
      <c r="F135">
        <v>39</v>
      </c>
      <c r="G135">
        <v>83000</v>
      </c>
      <c r="H135">
        <v>67000</v>
      </c>
      <c r="I135" s="1">
        <f t="shared" si="2"/>
        <v>0.80722891566265065</v>
      </c>
      <c r="J135" t="s">
        <v>15</v>
      </c>
    </row>
    <row r="136" spans="1:10" x14ac:dyDescent="0.35">
      <c r="A136">
        <v>2025</v>
      </c>
      <c r="B136" t="s">
        <v>16</v>
      </c>
      <c r="C136" t="s">
        <v>17</v>
      </c>
      <c r="D136">
        <v>130</v>
      </c>
      <c r="E136">
        <v>80</v>
      </c>
      <c r="F136">
        <v>50</v>
      </c>
      <c r="G136">
        <v>108000</v>
      </c>
      <c r="H136">
        <v>80000</v>
      </c>
      <c r="I136" s="1">
        <f t="shared" si="2"/>
        <v>0.7407407407407407</v>
      </c>
      <c r="J136" t="s">
        <v>12</v>
      </c>
    </row>
    <row r="137" spans="1:10" x14ac:dyDescent="0.35">
      <c r="A137">
        <v>2025</v>
      </c>
      <c r="B137" t="s">
        <v>18</v>
      </c>
      <c r="C137" t="s">
        <v>19</v>
      </c>
      <c r="D137">
        <v>114</v>
      </c>
      <c r="E137">
        <v>72</v>
      </c>
      <c r="F137">
        <v>42</v>
      </c>
      <c r="G137">
        <v>97000</v>
      </c>
      <c r="H137">
        <v>72000</v>
      </c>
      <c r="I137" s="1">
        <f t="shared" si="2"/>
        <v>0.74226804123711343</v>
      </c>
      <c r="J137" t="s">
        <v>15</v>
      </c>
    </row>
    <row r="138" spans="1:10" x14ac:dyDescent="0.35">
      <c r="A138">
        <v>2025</v>
      </c>
      <c r="B138" t="s">
        <v>20</v>
      </c>
      <c r="C138" t="s">
        <v>21</v>
      </c>
      <c r="D138">
        <v>106</v>
      </c>
      <c r="E138">
        <v>68</v>
      </c>
      <c r="F138">
        <v>38</v>
      </c>
      <c r="G138">
        <v>92000</v>
      </c>
      <c r="H138">
        <v>67000</v>
      </c>
      <c r="I138" s="1">
        <f t="shared" si="2"/>
        <v>0.72826086956521741</v>
      </c>
      <c r="J138" t="s">
        <v>12</v>
      </c>
    </row>
    <row r="139" spans="1:10" x14ac:dyDescent="0.35">
      <c r="A139">
        <v>2025</v>
      </c>
      <c r="B139" t="s">
        <v>22</v>
      </c>
      <c r="C139" t="s">
        <v>23</v>
      </c>
      <c r="D139">
        <v>96</v>
      </c>
      <c r="E139">
        <v>62</v>
      </c>
      <c r="F139">
        <v>34</v>
      </c>
      <c r="G139">
        <v>87000</v>
      </c>
      <c r="H139">
        <v>60000</v>
      </c>
      <c r="I139" s="1">
        <f t="shared" si="2"/>
        <v>0.68965517241379315</v>
      </c>
      <c r="J139" t="s">
        <v>15</v>
      </c>
    </row>
    <row r="140" spans="1:10" x14ac:dyDescent="0.35">
      <c r="A140">
        <v>2025</v>
      </c>
      <c r="B140" t="s">
        <v>24</v>
      </c>
      <c r="C140" t="s">
        <v>25</v>
      </c>
      <c r="D140">
        <v>92</v>
      </c>
      <c r="E140">
        <v>60</v>
      </c>
      <c r="F140">
        <v>32</v>
      </c>
      <c r="G140">
        <v>85000</v>
      </c>
      <c r="H140">
        <v>57000</v>
      </c>
      <c r="I140" s="1">
        <f t="shared" si="2"/>
        <v>0.6705882352941176</v>
      </c>
      <c r="J140" t="s">
        <v>12</v>
      </c>
    </row>
    <row r="141" spans="1:10" x14ac:dyDescent="0.35">
      <c r="A141">
        <v>2025</v>
      </c>
      <c r="B141" t="s">
        <v>26</v>
      </c>
      <c r="C141" t="s">
        <v>27</v>
      </c>
      <c r="D141">
        <v>94</v>
      </c>
      <c r="E141">
        <v>61</v>
      </c>
      <c r="F141">
        <v>33</v>
      </c>
      <c r="G141">
        <v>86000</v>
      </c>
      <c r="H141">
        <v>58000</v>
      </c>
      <c r="I141" s="1">
        <f t="shared" si="2"/>
        <v>0.67441860465116277</v>
      </c>
      <c r="J141" t="s">
        <v>15</v>
      </c>
    </row>
    <row r="142" spans="1:10" x14ac:dyDescent="0.35">
      <c r="A142">
        <v>2025</v>
      </c>
      <c r="B142" t="s">
        <v>28</v>
      </c>
      <c r="C142" t="s">
        <v>29</v>
      </c>
      <c r="D142">
        <v>100</v>
      </c>
      <c r="E142">
        <v>64</v>
      </c>
      <c r="F142">
        <v>36</v>
      </c>
      <c r="G142">
        <v>90000</v>
      </c>
      <c r="H142">
        <v>62000</v>
      </c>
      <c r="I142" s="1">
        <f t="shared" si="2"/>
        <v>0.68888888888888888</v>
      </c>
      <c r="J142" t="s">
        <v>12</v>
      </c>
    </row>
    <row r="143" spans="1:10" x14ac:dyDescent="0.35">
      <c r="A143">
        <v>2025</v>
      </c>
      <c r="B143" t="s">
        <v>30</v>
      </c>
      <c r="C143" t="s">
        <v>31</v>
      </c>
      <c r="D143">
        <v>88</v>
      </c>
      <c r="E143">
        <v>57</v>
      </c>
      <c r="F143">
        <v>31</v>
      </c>
      <c r="G143">
        <v>82000</v>
      </c>
      <c r="H143">
        <v>54000</v>
      </c>
      <c r="I143" s="1">
        <f t="shared" si="2"/>
        <v>0.65853658536585369</v>
      </c>
      <c r="J143" t="s">
        <v>15</v>
      </c>
    </row>
    <row r="144" spans="1:10" x14ac:dyDescent="0.35">
      <c r="A144">
        <v>2025</v>
      </c>
      <c r="B144" t="s">
        <v>32</v>
      </c>
      <c r="C144" t="s">
        <v>33</v>
      </c>
      <c r="D144">
        <v>84</v>
      </c>
      <c r="E144">
        <v>55</v>
      </c>
      <c r="F144">
        <v>29</v>
      </c>
      <c r="G144">
        <v>80000</v>
      </c>
      <c r="H144">
        <v>52000</v>
      </c>
      <c r="I144" s="1">
        <f t="shared" si="2"/>
        <v>0.65</v>
      </c>
      <c r="J144" t="s">
        <v>12</v>
      </c>
    </row>
    <row r="145" spans="1:10" x14ac:dyDescent="0.35">
      <c r="A145">
        <v>2025</v>
      </c>
      <c r="B145" t="s">
        <v>34</v>
      </c>
      <c r="C145" t="s">
        <v>35</v>
      </c>
      <c r="D145">
        <v>86</v>
      </c>
      <c r="E145">
        <v>56</v>
      </c>
      <c r="F145">
        <v>30</v>
      </c>
      <c r="G145">
        <v>81000</v>
      </c>
      <c r="H145">
        <v>53000</v>
      </c>
      <c r="I145" s="1">
        <f t="shared" si="2"/>
        <v>0.65432098765432101</v>
      </c>
      <c r="J145" t="s">
        <v>15</v>
      </c>
    </row>
    <row r="146" spans="1:10" x14ac:dyDescent="0.35">
      <c r="A146">
        <v>2026</v>
      </c>
      <c r="B146" t="s">
        <v>10</v>
      </c>
      <c r="C146" t="s">
        <v>11</v>
      </c>
      <c r="D146">
        <v>108</v>
      </c>
      <c r="E146">
        <v>70</v>
      </c>
      <c r="F146">
        <v>38</v>
      </c>
      <c r="G146">
        <v>85000</v>
      </c>
      <c r="H146">
        <v>65000</v>
      </c>
      <c r="I146" s="1">
        <f t="shared" si="2"/>
        <v>0.76470588235294112</v>
      </c>
      <c r="J146" t="s">
        <v>12</v>
      </c>
    </row>
    <row r="147" spans="1:10" x14ac:dyDescent="0.35">
      <c r="A147">
        <v>2026</v>
      </c>
      <c r="B147" t="s">
        <v>13</v>
      </c>
      <c r="C147" t="s">
        <v>14</v>
      </c>
      <c r="D147">
        <v>116</v>
      </c>
      <c r="E147">
        <v>74</v>
      </c>
      <c r="F147">
        <v>42</v>
      </c>
      <c r="G147">
        <v>88000</v>
      </c>
      <c r="H147">
        <v>70000</v>
      </c>
      <c r="I147" s="1">
        <f t="shared" si="2"/>
        <v>0.79545454545454541</v>
      </c>
      <c r="J147" t="s">
        <v>15</v>
      </c>
    </row>
    <row r="148" spans="1:10" x14ac:dyDescent="0.35">
      <c r="A148">
        <v>2026</v>
      </c>
      <c r="B148" t="s">
        <v>16</v>
      </c>
      <c r="C148" t="s">
        <v>17</v>
      </c>
      <c r="D148">
        <v>137</v>
      </c>
      <c r="E148">
        <v>85</v>
      </c>
      <c r="F148">
        <v>52</v>
      </c>
      <c r="G148">
        <v>110000</v>
      </c>
      <c r="H148">
        <v>85000</v>
      </c>
      <c r="I148" s="1">
        <f t="shared" si="2"/>
        <v>0.77272727272727271</v>
      </c>
      <c r="J148" t="s">
        <v>12</v>
      </c>
    </row>
    <row r="149" spans="1:10" x14ac:dyDescent="0.35">
      <c r="A149">
        <v>2022</v>
      </c>
      <c r="B149" t="s">
        <v>10</v>
      </c>
      <c r="C149" t="s">
        <v>11</v>
      </c>
      <c r="D149">
        <v>60</v>
      </c>
      <c r="E149">
        <v>40</v>
      </c>
      <c r="F149">
        <v>20</v>
      </c>
      <c r="G149">
        <v>50000</v>
      </c>
      <c r="H149">
        <v>30000</v>
      </c>
      <c r="I149" s="1">
        <f t="shared" si="2"/>
        <v>0.6</v>
      </c>
      <c r="J149" t="s">
        <v>12</v>
      </c>
    </row>
    <row r="150" spans="1:10" x14ac:dyDescent="0.35">
      <c r="A150">
        <v>2022</v>
      </c>
      <c r="B150" t="s">
        <v>13</v>
      </c>
      <c r="C150" t="s">
        <v>14</v>
      </c>
      <c r="D150">
        <v>64</v>
      </c>
      <c r="E150">
        <v>42</v>
      </c>
      <c r="F150">
        <v>22</v>
      </c>
      <c r="G150">
        <v>52000</v>
      </c>
      <c r="H150">
        <v>32000</v>
      </c>
      <c r="I150" s="1">
        <f t="shared" si="2"/>
        <v>0.61538461538461542</v>
      </c>
      <c r="J150" t="s">
        <v>15</v>
      </c>
    </row>
    <row r="151" spans="1:10" x14ac:dyDescent="0.35">
      <c r="A151">
        <v>2022</v>
      </c>
      <c r="B151" t="s">
        <v>16</v>
      </c>
      <c r="C151" t="s">
        <v>17</v>
      </c>
      <c r="D151">
        <v>70</v>
      </c>
      <c r="E151">
        <v>45</v>
      </c>
      <c r="F151">
        <v>25</v>
      </c>
      <c r="G151">
        <v>55000</v>
      </c>
      <c r="H151">
        <v>35000</v>
      </c>
      <c r="I151" s="1">
        <f t="shared" si="2"/>
        <v>0.63636363636363635</v>
      </c>
      <c r="J151" t="s">
        <v>12</v>
      </c>
    </row>
    <row r="152" spans="1:10" x14ac:dyDescent="0.35">
      <c r="A152">
        <v>2022</v>
      </c>
      <c r="B152" t="s">
        <v>18</v>
      </c>
      <c r="C152" t="s">
        <v>19</v>
      </c>
      <c r="D152">
        <v>66</v>
      </c>
      <c r="E152">
        <v>43</v>
      </c>
      <c r="F152">
        <v>23</v>
      </c>
      <c r="G152">
        <v>54000</v>
      </c>
      <c r="H152">
        <v>33000</v>
      </c>
      <c r="I152" s="1">
        <f t="shared" si="2"/>
        <v>0.61111111111111116</v>
      </c>
      <c r="J152" t="s">
        <v>15</v>
      </c>
    </row>
    <row r="153" spans="1:10" x14ac:dyDescent="0.35">
      <c r="A153">
        <v>2022</v>
      </c>
      <c r="B153" t="s">
        <v>20</v>
      </c>
      <c r="C153" t="s">
        <v>21</v>
      </c>
      <c r="D153">
        <v>62</v>
      </c>
      <c r="E153">
        <v>41</v>
      </c>
      <c r="F153">
        <v>21</v>
      </c>
      <c r="G153">
        <v>53000</v>
      </c>
      <c r="H153">
        <v>31000</v>
      </c>
      <c r="I153" s="1">
        <f t="shared" si="2"/>
        <v>0.58490566037735847</v>
      </c>
      <c r="J153" t="s">
        <v>12</v>
      </c>
    </row>
    <row r="154" spans="1:10" x14ac:dyDescent="0.35">
      <c r="A154">
        <v>2022</v>
      </c>
      <c r="B154" t="s">
        <v>22</v>
      </c>
      <c r="C154" t="s">
        <v>23</v>
      </c>
      <c r="D154">
        <v>58</v>
      </c>
      <c r="E154">
        <v>39</v>
      </c>
      <c r="F154">
        <v>19</v>
      </c>
      <c r="G154">
        <v>52000</v>
      </c>
      <c r="H154">
        <v>29000</v>
      </c>
      <c r="I154" s="1">
        <f t="shared" si="2"/>
        <v>0.55769230769230771</v>
      </c>
      <c r="J154" t="s">
        <v>15</v>
      </c>
    </row>
    <row r="155" spans="1:10" x14ac:dyDescent="0.35">
      <c r="A155">
        <v>2022</v>
      </c>
      <c r="B155" t="s">
        <v>24</v>
      </c>
      <c r="C155" t="s">
        <v>25</v>
      </c>
      <c r="D155">
        <v>56</v>
      </c>
      <c r="E155">
        <v>38</v>
      </c>
      <c r="F155">
        <v>18</v>
      </c>
      <c r="G155">
        <v>51000</v>
      </c>
      <c r="H155">
        <v>28000</v>
      </c>
      <c r="I155" s="1">
        <f t="shared" si="2"/>
        <v>0.5490196078431373</v>
      </c>
      <c r="J155" t="s">
        <v>12</v>
      </c>
    </row>
    <row r="156" spans="1:10" x14ac:dyDescent="0.35">
      <c r="A156">
        <v>2022</v>
      </c>
      <c r="B156" t="s">
        <v>26</v>
      </c>
      <c r="C156" t="s">
        <v>27</v>
      </c>
      <c r="D156">
        <v>60</v>
      </c>
      <c r="E156">
        <v>40</v>
      </c>
      <c r="F156">
        <v>20</v>
      </c>
      <c r="G156">
        <v>52000</v>
      </c>
      <c r="H156">
        <v>30000</v>
      </c>
      <c r="I156" s="1">
        <f t="shared" si="2"/>
        <v>0.57692307692307687</v>
      </c>
      <c r="J156" t="s">
        <v>15</v>
      </c>
    </row>
    <row r="157" spans="1:10" x14ac:dyDescent="0.35">
      <c r="A157">
        <v>2022</v>
      </c>
      <c r="B157" t="s">
        <v>28</v>
      </c>
      <c r="C157" t="s">
        <v>29</v>
      </c>
      <c r="D157">
        <v>64</v>
      </c>
      <c r="E157">
        <v>42</v>
      </c>
      <c r="F157">
        <v>22</v>
      </c>
      <c r="G157">
        <v>53000</v>
      </c>
      <c r="H157">
        <v>32000</v>
      </c>
      <c r="I157" s="1">
        <f t="shared" si="2"/>
        <v>0.60377358490566035</v>
      </c>
      <c r="J157" t="s">
        <v>12</v>
      </c>
    </row>
    <row r="158" spans="1:10" x14ac:dyDescent="0.35">
      <c r="A158">
        <v>2022</v>
      </c>
      <c r="B158" t="s">
        <v>30</v>
      </c>
      <c r="C158" t="s">
        <v>31</v>
      </c>
      <c r="D158">
        <v>52</v>
      </c>
      <c r="E158">
        <v>35</v>
      </c>
      <c r="F158">
        <v>17</v>
      </c>
      <c r="G158">
        <v>48000</v>
      </c>
      <c r="H158">
        <v>26000</v>
      </c>
      <c r="I158" s="1">
        <f t="shared" si="2"/>
        <v>0.54166666666666663</v>
      </c>
      <c r="J158" t="s">
        <v>15</v>
      </c>
    </row>
    <row r="159" spans="1:10" x14ac:dyDescent="0.35">
      <c r="A159">
        <v>2022</v>
      </c>
      <c r="B159" t="s">
        <v>32</v>
      </c>
      <c r="C159" t="s">
        <v>33</v>
      </c>
      <c r="D159">
        <v>50</v>
      </c>
      <c r="E159">
        <v>34</v>
      </c>
      <c r="F159">
        <v>16</v>
      </c>
      <c r="G159">
        <v>47000</v>
      </c>
      <c r="H159">
        <v>25000</v>
      </c>
      <c r="I159" s="1">
        <f t="shared" si="2"/>
        <v>0.53191489361702127</v>
      </c>
      <c r="J159" t="s">
        <v>12</v>
      </c>
    </row>
    <row r="160" spans="1:10" x14ac:dyDescent="0.35">
      <c r="A160">
        <v>2022</v>
      </c>
      <c r="B160" t="s">
        <v>34</v>
      </c>
      <c r="C160" t="s">
        <v>35</v>
      </c>
      <c r="D160">
        <v>54</v>
      </c>
      <c r="E160">
        <v>36</v>
      </c>
      <c r="F160">
        <v>18</v>
      </c>
      <c r="G160">
        <v>49000</v>
      </c>
      <c r="H160">
        <v>27000</v>
      </c>
      <c r="I160" s="1">
        <f t="shared" si="2"/>
        <v>0.55102040816326525</v>
      </c>
      <c r="J160" t="s">
        <v>15</v>
      </c>
    </row>
    <row r="161" spans="1:10" x14ac:dyDescent="0.35">
      <c r="A161">
        <v>2023</v>
      </c>
      <c r="B161" t="s">
        <v>10</v>
      </c>
      <c r="C161" t="s">
        <v>11</v>
      </c>
      <c r="D161">
        <v>80</v>
      </c>
      <c r="E161">
        <v>52</v>
      </c>
      <c r="F161">
        <v>28</v>
      </c>
      <c r="G161">
        <v>60000</v>
      </c>
      <c r="H161">
        <v>42000</v>
      </c>
      <c r="I161" s="1">
        <f t="shared" si="2"/>
        <v>0.7</v>
      </c>
      <c r="J161" t="s">
        <v>12</v>
      </c>
    </row>
    <row r="162" spans="1:10" x14ac:dyDescent="0.35">
      <c r="A162">
        <v>2023</v>
      </c>
      <c r="B162" t="s">
        <v>13</v>
      </c>
      <c r="C162" t="s">
        <v>14</v>
      </c>
      <c r="D162">
        <v>90</v>
      </c>
      <c r="E162">
        <v>58</v>
      </c>
      <c r="F162">
        <v>32</v>
      </c>
      <c r="G162">
        <v>65000</v>
      </c>
      <c r="H162">
        <v>48000</v>
      </c>
      <c r="I162" s="1">
        <f t="shared" si="2"/>
        <v>0.7384615384615385</v>
      </c>
      <c r="J162" t="s">
        <v>15</v>
      </c>
    </row>
    <row r="163" spans="1:10" x14ac:dyDescent="0.35">
      <c r="A163">
        <v>2023</v>
      </c>
      <c r="B163" t="s">
        <v>16</v>
      </c>
      <c r="C163" t="s">
        <v>17</v>
      </c>
      <c r="D163">
        <v>110</v>
      </c>
      <c r="E163">
        <v>70</v>
      </c>
      <c r="F163">
        <v>40</v>
      </c>
      <c r="G163">
        <v>95000</v>
      </c>
      <c r="H163">
        <v>65000</v>
      </c>
      <c r="I163" s="1">
        <f t="shared" si="2"/>
        <v>0.68421052631578949</v>
      </c>
      <c r="J163" t="s">
        <v>12</v>
      </c>
    </row>
    <row r="164" spans="1:10" x14ac:dyDescent="0.35">
      <c r="A164">
        <v>2023</v>
      </c>
      <c r="B164" t="s">
        <v>18</v>
      </c>
      <c r="C164" t="s">
        <v>19</v>
      </c>
      <c r="D164">
        <v>95</v>
      </c>
      <c r="E164">
        <v>60</v>
      </c>
      <c r="F164">
        <v>35</v>
      </c>
      <c r="G164">
        <v>90000</v>
      </c>
      <c r="H164">
        <v>58000</v>
      </c>
      <c r="I164" s="1">
        <f t="shared" si="2"/>
        <v>0.64444444444444449</v>
      </c>
      <c r="J164" t="s">
        <v>15</v>
      </c>
    </row>
    <row r="165" spans="1:10" x14ac:dyDescent="0.35">
      <c r="A165">
        <v>2023</v>
      </c>
      <c r="B165" t="s">
        <v>20</v>
      </c>
      <c r="C165" t="s">
        <v>21</v>
      </c>
      <c r="D165">
        <v>85</v>
      </c>
      <c r="E165">
        <v>55</v>
      </c>
      <c r="F165">
        <v>30</v>
      </c>
      <c r="G165">
        <v>78000</v>
      </c>
      <c r="H165">
        <v>50000</v>
      </c>
      <c r="I165" s="1">
        <f t="shared" si="2"/>
        <v>0.64102564102564108</v>
      </c>
      <c r="J165" t="s">
        <v>12</v>
      </c>
    </row>
    <row r="166" spans="1:10" x14ac:dyDescent="0.35">
      <c r="A166">
        <v>2023</v>
      </c>
      <c r="B166" t="s">
        <v>22</v>
      </c>
      <c r="C166" t="s">
        <v>23</v>
      </c>
      <c r="D166">
        <v>75</v>
      </c>
      <c r="E166">
        <v>50</v>
      </c>
      <c r="F166">
        <v>25</v>
      </c>
      <c r="G166">
        <v>70000</v>
      </c>
      <c r="H166">
        <v>42000</v>
      </c>
      <c r="I166" s="1">
        <f t="shared" si="2"/>
        <v>0.6</v>
      </c>
      <c r="J166" t="s">
        <v>15</v>
      </c>
    </row>
    <row r="167" spans="1:10" x14ac:dyDescent="0.35">
      <c r="A167">
        <v>2023</v>
      </c>
      <c r="B167" t="s">
        <v>24</v>
      </c>
      <c r="C167" t="s">
        <v>25</v>
      </c>
      <c r="D167">
        <v>70</v>
      </c>
      <c r="E167">
        <v>48</v>
      </c>
      <c r="F167">
        <v>22</v>
      </c>
      <c r="G167">
        <v>68000</v>
      </c>
      <c r="H167">
        <v>39000</v>
      </c>
      <c r="I167" s="1">
        <f t="shared" si="2"/>
        <v>0.57352941176470584</v>
      </c>
      <c r="J167" t="s">
        <v>12</v>
      </c>
    </row>
    <row r="168" spans="1:10" x14ac:dyDescent="0.35">
      <c r="A168">
        <v>2023</v>
      </c>
      <c r="B168" t="s">
        <v>26</v>
      </c>
      <c r="C168" t="s">
        <v>27</v>
      </c>
      <c r="D168">
        <v>69</v>
      </c>
      <c r="E168">
        <v>45</v>
      </c>
      <c r="F168">
        <v>24</v>
      </c>
      <c r="G168">
        <v>72000</v>
      </c>
      <c r="H168">
        <v>41000</v>
      </c>
      <c r="I168" s="1">
        <f t="shared" si="2"/>
        <v>0.56944444444444442</v>
      </c>
      <c r="J168" t="s">
        <v>15</v>
      </c>
    </row>
    <row r="169" spans="1:10" x14ac:dyDescent="0.35">
      <c r="A169">
        <v>2023</v>
      </c>
      <c r="B169" t="s">
        <v>28</v>
      </c>
      <c r="C169" t="s">
        <v>29</v>
      </c>
      <c r="D169">
        <v>80</v>
      </c>
      <c r="E169">
        <v>53</v>
      </c>
      <c r="F169">
        <v>27</v>
      </c>
      <c r="G169">
        <v>75000</v>
      </c>
      <c r="H169">
        <v>47000</v>
      </c>
      <c r="I169" s="1">
        <f t="shared" si="2"/>
        <v>0.62666666666666671</v>
      </c>
      <c r="J169" t="s">
        <v>12</v>
      </c>
    </row>
    <row r="170" spans="1:10" x14ac:dyDescent="0.35">
      <c r="A170">
        <v>2023</v>
      </c>
      <c r="B170" t="s">
        <v>30</v>
      </c>
      <c r="C170" t="s">
        <v>31</v>
      </c>
      <c r="D170">
        <v>60</v>
      </c>
      <c r="E170">
        <v>40</v>
      </c>
      <c r="F170">
        <v>20</v>
      </c>
      <c r="G170">
        <v>60000</v>
      </c>
      <c r="H170">
        <v>35000</v>
      </c>
      <c r="I170" s="1">
        <f t="shared" si="2"/>
        <v>0.58333333333333337</v>
      </c>
      <c r="J170" t="s">
        <v>15</v>
      </c>
    </row>
    <row r="171" spans="1:10" x14ac:dyDescent="0.35">
      <c r="A171">
        <v>2023</v>
      </c>
      <c r="B171" t="s">
        <v>32</v>
      </c>
      <c r="C171" t="s">
        <v>33</v>
      </c>
      <c r="D171">
        <v>56</v>
      </c>
      <c r="E171">
        <v>38</v>
      </c>
      <c r="F171">
        <v>18</v>
      </c>
      <c r="G171">
        <v>55000</v>
      </c>
      <c r="H171">
        <v>30000</v>
      </c>
      <c r="I171" s="1">
        <f t="shared" si="2"/>
        <v>0.54545454545454541</v>
      </c>
      <c r="J171" t="s">
        <v>12</v>
      </c>
    </row>
    <row r="172" spans="1:10" x14ac:dyDescent="0.35">
      <c r="A172">
        <v>2023</v>
      </c>
      <c r="B172" t="s">
        <v>34</v>
      </c>
      <c r="C172" t="s">
        <v>35</v>
      </c>
      <c r="D172">
        <v>63</v>
      </c>
      <c r="E172">
        <v>42</v>
      </c>
      <c r="F172">
        <v>21</v>
      </c>
      <c r="G172">
        <v>62000</v>
      </c>
      <c r="H172">
        <v>36000</v>
      </c>
      <c r="I172" s="1">
        <f t="shared" si="2"/>
        <v>0.58064516129032262</v>
      </c>
      <c r="J172" t="s">
        <v>15</v>
      </c>
    </row>
    <row r="173" spans="1:10" x14ac:dyDescent="0.35">
      <c r="A173">
        <v>2024</v>
      </c>
      <c r="B173" t="s">
        <v>10</v>
      </c>
      <c r="C173" t="s">
        <v>11</v>
      </c>
      <c r="D173">
        <v>93</v>
      </c>
      <c r="E173">
        <v>60</v>
      </c>
      <c r="F173">
        <v>33</v>
      </c>
      <c r="G173">
        <v>70000</v>
      </c>
      <c r="H173">
        <v>52000</v>
      </c>
      <c r="I173" s="1">
        <f t="shared" si="2"/>
        <v>0.74285714285714288</v>
      </c>
      <c r="J173" t="s">
        <v>12</v>
      </c>
    </row>
    <row r="174" spans="1:10" x14ac:dyDescent="0.35">
      <c r="A174">
        <v>2024</v>
      </c>
      <c r="B174" t="s">
        <v>13</v>
      </c>
      <c r="C174" t="s">
        <v>14</v>
      </c>
      <c r="D174">
        <v>101</v>
      </c>
      <c r="E174">
        <v>65</v>
      </c>
      <c r="F174">
        <v>36</v>
      </c>
      <c r="G174">
        <v>78000</v>
      </c>
      <c r="H174">
        <v>60000</v>
      </c>
      <c r="I174" s="1">
        <f t="shared" si="2"/>
        <v>0.76923076923076927</v>
      </c>
      <c r="J174" t="s">
        <v>15</v>
      </c>
    </row>
    <row r="175" spans="1:10" x14ac:dyDescent="0.35">
      <c r="A175">
        <v>2024</v>
      </c>
      <c r="B175" t="s">
        <v>16</v>
      </c>
      <c r="C175" t="s">
        <v>17</v>
      </c>
      <c r="D175">
        <v>120</v>
      </c>
      <c r="E175">
        <v>75</v>
      </c>
      <c r="F175">
        <v>45</v>
      </c>
      <c r="G175">
        <v>100000</v>
      </c>
      <c r="H175">
        <v>72000</v>
      </c>
      <c r="I175" s="1">
        <f t="shared" si="2"/>
        <v>0.72</v>
      </c>
      <c r="J175" t="s">
        <v>12</v>
      </c>
    </row>
    <row r="176" spans="1:10" x14ac:dyDescent="0.35">
      <c r="A176">
        <v>2024</v>
      </c>
      <c r="B176" t="s">
        <v>18</v>
      </c>
      <c r="C176" t="s">
        <v>19</v>
      </c>
      <c r="D176">
        <v>106</v>
      </c>
      <c r="E176">
        <v>68</v>
      </c>
      <c r="F176">
        <v>38</v>
      </c>
      <c r="G176">
        <v>92000</v>
      </c>
      <c r="H176">
        <v>65000</v>
      </c>
      <c r="I176" s="1">
        <f t="shared" si="2"/>
        <v>0.70652173913043481</v>
      </c>
      <c r="J176" t="s">
        <v>15</v>
      </c>
    </row>
    <row r="177" spans="1:10" x14ac:dyDescent="0.35">
      <c r="A177">
        <v>2024</v>
      </c>
      <c r="B177" t="s">
        <v>20</v>
      </c>
      <c r="C177" t="s">
        <v>21</v>
      </c>
      <c r="D177">
        <v>96</v>
      </c>
      <c r="E177">
        <v>62</v>
      </c>
      <c r="F177">
        <v>34</v>
      </c>
      <c r="G177">
        <v>85000</v>
      </c>
      <c r="H177">
        <v>59000</v>
      </c>
      <c r="I177" s="1">
        <f t="shared" si="2"/>
        <v>0.69411764705882351</v>
      </c>
      <c r="J177" t="s">
        <v>12</v>
      </c>
    </row>
    <row r="178" spans="1:10" x14ac:dyDescent="0.35">
      <c r="A178">
        <v>2024</v>
      </c>
      <c r="B178" t="s">
        <v>22</v>
      </c>
      <c r="C178" t="s">
        <v>23</v>
      </c>
      <c r="D178">
        <v>84</v>
      </c>
      <c r="E178">
        <v>55</v>
      </c>
      <c r="F178">
        <v>29</v>
      </c>
      <c r="G178">
        <v>78000</v>
      </c>
      <c r="H178">
        <v>50000</v>
      </c>
      <c r="I178" s="1">
        <f t="shared" si="2"/>
        <v>0.64102564102564108</v>
      </c>
      <c r="J178" t="s">
        <v>15</v>
      </c>
    </row>
    <row r="179" spans="1:10" x14ac:dyDescent="0.35">
      <c r="A179">
        <v>2024</v>
      </c>
      <c r="B179" t="s">
        <v>24</v>
      </c>
      <c r="C179" t="s">
        <v>25</v>
      </c>
      <c r="D179">
        <v>80</v>
      </c>
      <c r="E179">
        <v>53</v>
      </c>
      <c r="F179">
        <v>27</v>
      </c>
      <c r="G179">
        <v>76000</v>
      </c>
      <c r="H179">
        <v>48000</v>
      </c>
      <c r="I179" s="1">
        <f t="shared" si="2"/>
        <v>0.63157894736842102</v>
      </c>
      <c r="J179" t="s">
        <v>12</v>
      </c>
    </row>
    <row r="180" spans="1:10" x14ac:dyDescent="0.35">
      <c r="A180">
        <v>2024</v>
      </c>
      <c r="B180" t="s">
        <v>26</v>
      </c>
      <c r="C180" t="s">
        <v>27</v>
      </c>
      <c r="D180">
        <v>82</v>
      </c>
      <c r="E180">
        <v>54</v>
      </c>
      <c r="F180">
        <v>28</v>
      </c>
      <c r="G180">
        <v>77000</v>
      </c>
      <c r="H180">
        <v>49000</v>
      </c>
      <c r="I180" s="1">
        <f t="shared" si="2"/>
        <v>0.63636363636363635</v>
      </c>
      <c r="J180" t="s">
        <v>15</v>
      </c>
    </row>
    <row r="181" spans="1:10" x14ac:dyDescent="0.35">
      <c r="A181">
        <v>2024</v>
      </c>
      <c r="B181" t="s">
        <v>28</v>
      </c>
      <c r="C181" t="s">
        <v>29</v>
      </c>
      <c r="D181">
        <v>89</v>
      </c>
      <c r="E181">
        <v>58</v>
      </c>
      <c r="F181">
        <v>31</v>
      </c>
      <c r="G181">
        <v>80000</v>
      </c>
      <c r="H181">
        <v>53000</v>
      </c>
      <c r="I181" s="1">
        <f t="shared" si="2"/>
        <v>0.66249999999999998</v>
      </c>
      <c r="J181" t="s">
        <v>12</v>
      </c>
    </row>
    <row r="182" spans="1:10" x14ac:dyDescent="0.35">
      <c r="A182">
        <v>2024</v>
      </c>
      <c r="B182" t="s">
        <v>30</v>
      </c>
      <c r="C182" t="s">
        <v>31</v>
      </c>
      <c r="D182">
        <v>76</v>
      </c>
      <c r="E182">
        <v>50</v>
      </c>
      <c r="F182">
        <v>26</v>
      </c>
      <c r="G182">
        <v>72000</v>
      </c>
      <c r="H182">
        <v>46000</v>
      </c>
      <c r="I182" s="1">
        <f t="shared" si="2"/>
        <v>0.63888888888888884</v>
      </c>
      <c r="J182" t="s">
        <v>15</v>
      </c>
    </row>
    <row r="183" spans="1:10" x14ac:dyDescent="0.35">
      <c r="A183">
        <v>2024</v>
      </c>
      <c r="B183" t="s">
        <v>32</v>
      </c>
      <c r="C183" t="s">
        <v>33</v>
      </c>
      <c r="D183">
        <v>72</v>
      </c>
      <c r="E183">
        <v>48</v>
      </c>
      <c r="F183">
        <v>24</v>
      </c>
      <c r="G183">
        <v>70000</v>
      </c>
      <c r="H183">
        <v>44000</v>
      </c>
      <c r="I183" s="1">
        <f t="shared" si="2"/>
        <v>0.62857142857142856</v>
      </c>
      <c r="J183" t="s">
        <v>12</v>
      </c>
    </row>
    <row r="184" spans="1:10" x14ac:dyDescent="0.35">
      <c r="A184">
        <v>2024</v>
      </c>
      <c r="B184" t="s">
        <v>34</v>
      </c>
      <c r="C184" t="s">
        <v>35</v>
      </c>
      <c r="D184">
        <v>74</v>
      </c>
      <c r="E184">
        <v>49</v>
      </c>
      <c r="F184">
        <v>25</v>
      </c>
      <c r="G184">
        <v>71000</v>
      </c>
      <c r="H184">
        <v>45000</v>
      </c>
      <c r="I184" s="1">
        <f t="shared" si="2"/>
        <v>0.63380281690140849</v>
      </c>
      <c r="J184" t="s">
        <v>15</v>
      </c>
    </row>
    <row r="185" spans="1:10" x14ac:dyDescent="0.35">
      <c r="A185">
        <v>2025</v>
      </c>
      <c r="B185" t="s">
        <v>10</v>
      </c>
      <c r="C185" t="s">
        <v>11</v>
      </c>
      <c r="D185">
        <v>100</v>
      </c>
      <c r="E185">
        <v>65</v>
      </c>
      <c r="F185">
        <v>35</v>
      </c>
      <c r="G185">
        <v>80000</v>
      </c>
      <c r="H185">
        <v>60000</v>
      </c>
      <c r="I185" s="1">
        <f t="shared" si="2"/>
        <v>0.75</v>
      </c>
      <c r="J185" t="s">
        <v>12</v>
      </c>
    </row>
    <row r="186" spans="1:10" x14ac:dyDescent="0.35">
      <c r="A186">
        <v>2025</v>
      </c>
      <c r="B186" t="s">
        <v>13</v>
      </c>
      <c r="C186" t="s">
        <v>14</v>
      </c>
      <c r="D186">
        <v>106</v>
      </c>
      <c r="E186">
        <v>68</v>
      </c>
      <c r="F186">
        <v>38</v>
      </c>
      <c r="G186">
        <v>82000</v>
      </c>
      <c r="H186">
        <v>65000</v>
      </c>
      <c r="I186" s="1">
        <f t="shared" si="2"/>
        <v>0.79268292682926833</v>
      </c>
      <c r="J186" t="s">
        <v>15</v>
      </c>
    </row>
    <row r="187" spans="1:10" x14ac:dyDescent="0.35">
      <c r="A187">
        <v>2025</v>
      </c>
      <c r="B187" t="s">
        <v>16</v>
      </c>
      <c r="C187" t="s">
        <v>17</v>
      </c>
      <c r="D187">
        <v>126</v>
      </c>
      <c r="E187">
        <v>78</v>
      </c>
      <c r="F187">
        <v>48</v>
      </c>
      <c r="G187">
        <v>105000</v>
      </c>
      <c r="H187">
        <v>78000</v>
      </c>
      <c r="I187" s="1">
        <f t="shared" si="2"/>
        <v>0.74285714285714288</v>
      </c>
      <c r="J187" t="s">
        <v>12</v>
      </c>
    </row>
    <row r="188" spans="1:10" x14ac:dyDescent="0.35">
      <c r="A188">
        <v>2025</v>
      </c>
      <c r="B188" t="s">
        <v>18</v>
      </c>
      <c r="C188" t="s">
        <v>19</v>
      </c>
      <c r="D188">
        <v>110</v>
      </c>
      <c r="E188">
        <v>70</v>
      </c>
      <c r="F188">
        <v>40</v>
      </c>
      <c r="G188">
        <v>95000</v>
      </c>
      <c r="H188">
        <v>70000</v>
      </c>
      <c r="I188" s="1">
        <f t="shared" si="2"/>
        <v>0.73684210526315785</v>
      </c>
      <c r="J188" t="s">
        <v>15</v>
      </c>
    </row>
    <row r="189" spans="1:10" x14ac:dyDescent="0.35">
      <c r="A189">
        <v>2025</v>
      </c>
      <c r="B189" t="s">
        <v>20</v>
      </c>
      <c r="C189" t="s">
        <v>21</v>
      </c>
      <c r="D189">
        <v>102</v>
      </c>
      <c r="E189">
        <v>66</v>
      </c>
      <c r="F189">
        <v>36</v>
      </c>
      <c r="G189">
        <v>90000</v>
      </c>
      <c r="H189">
        <v>65000</v>
      </c>
      <c r="I189" s="1">
        <f t="shared" si="2"/>
        <v>0.72222222222222221</v>
      </c>
      <c r="J189" t="s">
        <v>12</v>
      </c>
    </row>
    <row r="190" spans="1:10" x14ac:dyDescent="0.35">
      <c r="A190">
        <v>2025</v>
      </c>
      <c r="B190" t="s">
        <v>22</v>
      </c>
      <c r="C190" t="s">
        <v>23</v>
      </c>
      <c r="D190">
        <v>92</v>
      </c>
      <c r="E190">
        <v>60</v>
      </c>
      <c r="F190">
        <v>32</v>
      </c>
      <c r="G190">
        <v>85000</v>
      </c>
      <c r="H190">
        <v>58000</v>
      </c>
      <c r="I190" s="1">
        <f t="shared" si="2"/>
        <v>0.68235294117647061</v>
      </c>
      <c r="J190" t="s">
        <v>15</v>
      </c>
    </row>
    <row r="191" spans="1:10" x14ac:dyDescent="0.35">
      <c r="A191">
        <v>2025</v>
      </c>
      <c r="B191" t="s">
        <v>24</v>
      </c>
      <c r="C191" t="s">
        <v>25</v>
      </c>
      <c r="D191">
        <v>88</v>
      </c>
      <c r="E191">
        <v>58</v>
      </c>
      <c r="F191">
        <v>30</v>
      </c>
      <c r="G191">
        <v>83000</v>
      </c>
      <c r="H191">
        <v>55000</v>
      </c>
      <c r="I191" s="1">
        <f t="shared" si="2"/>
        <v>0.66265060240963858</v>
      </c>
      <c r="J191" t="s">
        <v>12</v>
      </c>
    </row>
    <row r="192" spans="1:10" x14ac:dyDescent="0.35">
      <c r="A192">
        <v>2025</v>
      </c>
      <c r="B192" t="s">
        <v>26</v>
      </c>
      <c r="C192" t="s">
        <v>27</v>
      </c>
      <c r="D192">
        <v>90</v>
      </c>
      <c r="E192">
        <v>59</v>
      </c>
      <c r="F192">
        <v>31</v>
      </c>
      <c r="G192">
        <v>84000</v>
      </c>
      <c r="H192">
        <v>56000</v>
      </c>
      <c r="I192" s="1">
        <f t="shared" si="2"/>
        <v>0.66666666666666663</v>
      </c>
      <c r="J192" t="s">
        <v>15</v>
      </c>
    </row>
    <row r="193" spans="1:10" x14ac:dyDescent="0.35">
      <c r="A193">
        <v>2025</v>
      </c>
      <c r="B193" t="s">
        <v>28</v>
      </c>
      <c r="C193" t="s">
        <v>29</v>
      </c>
      <c r="D193">
        <v>96</v>
      </c>
      <c r="E193">
        <v>62</v>
      </c>
      <c r="F193">
        <v>34</v>
      </c>
      <c r="G193">
        <v>88000</v>
      </c>
      <c r="H193">
        <v>60000</v>
      </c>
      <c r="I193" s="1">
        <f t="shared" si="2"/>
        <v>0.68181818181818177</v>
      </c>
      <c r="J193" t="s">
        <v>12</v>
      </c>
    </row>
    <row r="194" spans="1:10" x14ac:dyDescent="0.35">
      <c r="A194">
        <v>2025</v>
      </c>
      <c r="B194" t="s">
        <v>30</v>
      </c>
      <c r="C194" t="s">
        <v>31</v>
      </c>
      <c r="D194">
        <v>84</v>
      </c>
      <c r="E194">
        <v>55</v>
      </c>
      <c r="F194">
        <v>29</v>
      </c>
      <c r="G194">
        <v>80000</v>
      </c>
      <c r="H194">
        <v>52000</v>
      </c>
      <c r="I194" s="1">
        <f t="shared" si="2"/>
        <v>0.65</v>
      </c>
      <c r="J194" t="s">
        <v>15</v>
      </c>
    </row>
    <row r="195" spans="1:10" x14ac:dyDescent="0.35">
      <c r="A195">
        <v>2025</v>
      </c>
      <c r="B195" t="s">
        <v>32</v>
      </c>
      <c r="C195" t="s">
        <v>33</v>
      </c>
      <c r="D195">
        <v>80</v>
      </c>
      <c r="E195">
        <v>53</v>
      </c>
      <c r="F195">
        <v>27</v>
      </c>
      <c r="G195">
        <v>78000</v>
      </c>
      <c r="H195">
        <v>50000</v>
      </c>
      <c r="I195" s="1">
        <f t="shared" ref="I195:I196" si="3">H195/G195</f>
        <v>0.64102564102564108</v>
      </c>
      <c r="J195" t="s">
        <v>12</v>
      </c>
    </row>
    <row r="196" spans="1:10" x14ac:dyDescent="0.35">
      <c r="A196">
        <v>2025</v>
      </c>
      <c r="B196" t="s">
        <v>34</v>
      </c>
      <c r="C196" t="s">
        <v>35</v>
      </c>
      <c r="D196">
        <v>82</v>
      </c>
      <c r="E196">
        <v>54</v>
      </c>
      <c r="F196">
        <v>28</v>
      </c>
      <c r="G196">
        <v>79000</v>
      </c>
      <c r="H196">
        <v>51000</v>
      </c>
      <c r="I196" s="1">
        <f t="shared" si="3"/>
        <v>0.64556962025316456</v>
      </c>
      <c r="J196" t="s">
        <v>15</v>
      </c>
    </row>
  </sheetData>
  <autoFilter ref="A1:J196"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E38B3-43A9-4804-A77C-F023C75E068F}">
  <dimension ref="A3:B6"/>
  <sheetViews>
    <sheetView workbookViewId="0">
      <selection activeCell="H28" sqref="H28"/>
    </sheetView>
  </sheetViews>
  <sheetFormatPr defaultRowHeight="14.5" x14ac:dyDescent="0.35"/>
  <cols>
    <col min="1" max="1" width="12.36328125" bestFit="1" customWidth="1"/>
    <col min="2" max="2" width="21.54296875" bestFit="1" customWidth="1"/>
  </cols>
  <sheetData>
    <row r="3" spans="1:2" x14ac:dyDescent="0.35">
      <c r="A3" s="2" t="s">
        <v>48</v>
      </c>
      <c r="B3" t="s">
        <v>51</v>
      </c>
    </row>
    <row r="4" spans="1:2" x14ac:dyDescent="0.35">
      <c r="A4" s="3" t="s">
        <v>15</v>
      </c>
      <c r="B4">
        <v>97</v>
      </c>
    </row>
    <row r="5" spans="1:2" x14ac:dyDescent="0.35">
      <c r="A5" s="3" t="s">
        <v>12</v>
      </c>
      <c r="B5">
        <v>98</v>
      </c>
    </row>
    <row r="6" spans="1:2" x14ac:dyDescent="0.35">
      <c r="A6" s="3" t="s">
        <v>49</v>
      </c>
      <c r="B6">
        <v>195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CE5FB-5A76-493A-910A-0615A59D04A8}">
  <dimension ref="A3:B28"/>
  <sheetViews>
    <sheetView topLeftCell="A2" workbookViewId="0">
      <selection activeCell="G23" sqref="G23"/>
    </sheetView>
  </sheetViews>
  <sheetFormatPr defaultRowHeight="14.5" x14ac:dyDescent="0.35"/>
  <cols>
    <col min="1" max="1" width="12.36328125" bestFit="1" customWidth="1"/>
    <col min="2" max="2" width="20" bestFit="1" customWidth="1"/>
  </cols>
  <sheetData>
    <row r="3" spans="1:2" x14ac:dyDescent="0.35">
      <c r="A3" s="2" t="s">
        <v>48</v>
      </c>
      <c r="B3" t="s">
        <v>50</v>
      </c>
    </row>
    <row r="4" spans="1:2" x14ac:dyDescent="0.35">
      <c r="A4" s="3" t="s">
        <v>47</v>
      </c>
      <c r="B4">
        <v>14500</v>
      </c>
    </row>
    <row r="5" spans="1:2" x14ac:dyDescent="0.35">
      <c r="A5" s="3" t="s">
        <v>44</v>
      </c>
      <c r="B5">
        <v>16500</v>
      </c>
    </row>
    <row r="6" spans="1:2" x14ac:dyDescent="0.35">
      <c r="A6" s="3" t="s">
        <v>35</v>
      </c>
      <c r="B6">
        <v>537000</v>
      </c>
    </row>
    <row r="7" spans="1:2" x14ac:dyDescent="0.35">
      <c r="A7" s="3" t="s">
        <v>11</v>
      </c>
      <c r="B7">
        <v>679000</v>
      </c>
    </row>
    <row r="8" spans="1:2" x14ac:dyDescent="0.35">
      <c r="A8" s="3" t="s">
        <v>46</v>
      </c>
      <c r="B8">
        <v>14000</v>
      </c>
    </row>
    <row r="9" spans="1:2" x14ac:dyDescent="0.35">
      <c r="A9" s="3" t="s">
        <v>29</v>
      </c>
      <c r="B9">
        <v>646000</v>
      </c>
    </row>
    <row r="10" spans="1:2" x14ac:dyDescent="0.35">
      <c r="A10" s="3" t="s">
        <v>36</v>
      </c>
      <c r="B10">
        <v>15000</v>
      </c>
    </row>
    <row r="11" spans="1:2" x14ac:dyDescent="0.35">
      <c r="A11" s="3" t="s">
        <v>40</v>
      </c>
      <c r="B11">
        <v>16500</v>
      </c>
    </row>
    <row r="12" spans="1:2" x14ac:dyDescent="0.35">
      <c r="A12" s="3" t="s">
        <v>19</v>
      </c>
      <c r="B12">
        <v>748500</v>
      </c>
    </row>
    <row r="13" spans="1:2" x14ac:dyDescent="0.35">
      <c r="A13" s="3" t="s">
        <v>41</v>
      </c>
      <c r="B13">
        <v>16000</v>
      </c>
    </row>
    <row r="14" spans="1:2" x14ac:dyDescent="0.35">
      <c r="A14" s="3" t="s">
        <v>14</v>
      </c>
      <c r="B14">
        <v>750000</v>
      </c>
    </row>
    <row r="15" spans="1:2" x14ac:dyDescent="0.35">
      <c r="A15" s="3" t="s">
        <v>17</v>
      </c>
      <c r="B15">
        <v>908000</v>
      </c>
    </row>
    <row r="16" spans="1:2" x14ac:dyDescent="0.35">
      <c r="A16" s="3" t="s">
        <v>33</v>
      </c>
      <c r="B16">
        <v>503500</v>
      </c>
    </row>
    <row r="17" spans="1:2" x14ac:dyDescent="0.35">
      <c r="A17" s="3" t="s">
        <v>45</v>
      </c>
      <c r="B17">
        <v>14500</v>
      </c>
    </row>
    <row r="18" spans="1:2" x14ac:dyDescent="0.35">
      <c r="A18" s="3" t="s">
        <v>42</v>
      </c>
      <c r="B18">
        <v>15000</v>
      </c>
    </row>
    <row r="19" spans="1:2" x14ac:dyDescent="0.35">
      <c r="A19" s="3" t="s">
        <v>43</v>
      </c>
      <c r="B19">
        <v>15500</v>
      </c>
    </row>
    <row r="20" spans="1:2" x14ac:dyDescent="0.35">
      <c r="A20" s="3" t="s">
        <v>31</v>
      </c>
      <c r="B20">
        <v>536000</v>
      </c>
    </row>
    <row r="21" spans="1:2" x14ac:dyDescent="0.35">
      <c r="A21" s="3" t="s">
        <v>25</v>
      </c>
      <c r="B21">
        <v>571500</v>
      </c>
    </row>
    <row r="22" spans="1:2" x14ac:dyDescent="0.35">
      <c r="A22" s="3" t="s">
        <v>23</v>
      </c>
      <c r="B22">
        <v>602000</v>
      </c>
    </row>
    <row r="23" spans="1:2" x14ac:dyDescent="0.35">
      <c r="A23" s="3" t="s">
        <v>27</v>
      </c>
      <c r="B23">
        <v>592000</v>
      </c>
    </row>
    <row r="24" spans="1:2" x14ac:dyDescent="0.35">
      <c r="A24" s="3" t="s">
        <v>37</v>
      </c>
      <c r="B24">
        <v>16000</v>
      </c>
    </row>
    <row r="25" spans="1:2" x14ac:dyDescent="0.35">
      <c r="A25" s="3" t="s">
        <v>38</v>
      </c>
      <c r="B25">
        <v>17500</v>
      </c>
    </row>
    <row r="26" spans="1:2" x14ac:dyDescent="0.35">
      <c r="A26" s="3" t="s">
        <v>21</v>
      </c>
      <c r="B26">
        <v>681500</v>
      </c>
    </row>
    <row r="27" spans="1:2" x14ac:dyDescent="0.35">
      <c r="A27" s="3" t="s">
        <v>39</v>
      </c>
      <c r="B27">
        <v>17000</v>
      </c>
    </row>
    <row r="28" spans="1:2" x14ac:dyDescent="0.35">
      <c r="A28" s="3" t="s">
        <v>49</v>
      </c>
      <c r="B28">
        <v>7943000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29EBE-305A-4630-8ED7-BB10C3031408}">
  <dimension ref="A3:B11"/>
  <sheetViews>
    <sheetView workbookViewId="0">
      <selection activeCell="A24" sqref="A24"/>
    </sheetView>
  </sheetViews>
  <sheetFormatPr defaultRowHeight="14.5" x14ac:dyDescent="0.35"/>
  <cols>
    <col min="1" max="1" width="12.36328125" bestFit="1" customWidth="1"/>
    <col min="2" max="2" width="20" bestFit="1" customWidth="1"/>
    <col min="3" max="3" width="10.81640625" bestFit="1" customWidth="1"/>
  </cols>
  <sheetData>
    <row r="3" spans="1:2" x14ac:dyDescent="0.35">
      <c r="A3" s="2" t="s">
        <v>48</v>
      </c>
      <c r="B3" t="s">
        <v>50</v>
      </c>
    </row>
    <row r="4" spans="1:2" x14ac:dyDescent="0.35">
      <c r="A4" s="3">
        <v>2020</v>
      </c>
      <c r="B4">
        <v>146000</v>
      </c>
    </row>
    <row r="5" spans="1:2" x14ac:dyDescent="0.35">
      <c r="A5" s="3">
        <v>2021</v>
      </c>
      <c r="B5">
        <v>630000</v>
      </c>
    </row>
    <row r="6" spans="1:2" x14ac:dyDescent="0.35">
      <c r="A6" s="3">
        <v>2022</v>
      </c>
      <c r="B6">
        <v>1074000</v>
      </c>
    </row>
    <row r="7" spans="1:2" x14ac:dyDescent="0.35">
      <c r="A7" s="3">
        <v>2023</v>
      </c>
      <c r="B7">
        <v>1599000</v>
      </c>
    </row>
    <row r="8" spans="1:2" x14ac:dyDescent="0.35">
      <c r="A8" s="3">
        <v>2024</v>
      </c>
      <c r="B8">
        <v>1286000</v>
      </c>
    </row>
    <row r="9" spans="1:2" x14ac:dyDescent="0.35">
      <c r="A9" s="3">
        <v>2025</v>
      </c>
      <c r="B9">
        <v>2183000</v>
      </c>
    </row>
    <row r="10" spans="1:2" x14ac:dyDescent="0.35">
      <c r="A10" s="3">
        <v>2026</v>
      </c>
      <c r="B10">
        <v>1025000</v>
      </c>
    </row>
    <row r="11" spans="1:2" x14ac:dyDescent="0.35">
      <c r="A11" s="3" t="s">
        <v>49</v>
      </c>
      <c r="B11">
        <v>7943000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5158F-EE05-44F8-ABEA-96BC72D3C964}">
  <dimension ref="A3:B28"/>
  <sheetViews>
    <sheetView workbookViewId="0">
      <selection activeCell="K24" sqref="K24"/>
    </sheetView>
  </sheetViews>
  <sheetFormatPr defaultRowHeight="14.5" x14ac:dyDescent="0.35"/>
  <cols>
    <col min="1" max="1" width="12.36328125" bestFit="1" customWidth="1"/>
    <col min="2" max="2" width="28.6328125" bestFit="1" customWidth="1"/>
  </cols>
  <sheetData>
    <row r="3" spans="1:2" x14ac:dyDescent="0.35">
      <c r="A3" s="2" t="s">
        <v>48</v>
      </c>
      <c r="B3" t="s">
        <v>52</v>
      </c>
    </row>
    <row r="4" spans="1:2" x14ac:dyDescent="0.35">
      <c r="A4" s="3" t="s">
        <v>47</v>
      </c>
      <c r="B4" s="4">
        <v>0.40277777777777779</v>
      </c>
    </row>
    <row r="5" spans="1:2" x14ac:dyDescent="0.35">
      <c r="A5" s="3" t="s">
        <v>44</v>
      </c>
      <c r="B5" s="4">
        <v>0.42857142857142855</v>
      </c>
    </row>
    <row r="6" spans="1:2" x14ac:dyDescent="0.35">
      <c r="A6" s="3" t="s">
        <v>35</v>
      </c>
      <c r="B6" s="4">
        <v>0.56349616101903144</v>
      </c>
    </row>
    <row r="7" spans="1:2" x14ac:dyDescent="0.35">
      <c r="A7" s="3" t="s">
        <v>11</v>
      </c>
      <c r="B7" s="4">
        <v>0.65069185081439973</v>
      </c>
    </row>
    <row r="8" spans="1:2" x14ac:dyDescent="0.35">
      <c r="A8" s="3" t="s">
        <v>46</v>
      </c>
      <c r="B8" s="4">
        <v>0.4</v>
      </c>
    </row>
    <row r="9" spans="1:2" x14ac:dyDescent="0.35">
      <c r="A9" s="3" t="s">
        <v>29</v>
      </c>
      <c r="B9" s="4">
        <v>0.60662134075169927</v>
      </c>
    </row>
    <row r="10" spans="1:2" x14ac:dyDescent="0.35">
      <c r="A10" s="3" t="s">
        <v>36</v>
      </c>
      <c r="B10" s="4">
        <v>0.40540540540540543</v>
      </c>
    </row>
    <row r="11" spans="1:2" x14ac:dyDescent="0.35">
      <c r="A11" s="3" t="s">
        <v>40</v>
      </c>
      <c r="B11" s="4">
        <v>0.42307692307692307</v>
      </c>
    </row>
    <row r="12" spans="1:2" x14ac:dyDescent="0.35">
      <c r="A12" s="3" t="s">
        <v>19</v>
      </c>
      <c r="B12" s="4">
        <v>0.63198523989694844</v>
      </c>
    </row>
    <row r="13" spans="1:2" x14ac:dyDescent="0.35">
      <c r="A13" s="3" t="s">
        <v>41</v>
      </c>
      <c r="B13" s="4">
        <v>0.42105263157894735</v>
      </c>
    </row>
    <row r="14" spans="1:2" x14ac:dyDescent="0.35">
      <c r="A14" s="3" t="s">
        <v>14</v>
      </c>
      <c r="B14" s="4">
        <v>0.68106224523264647</v>
      </c>
    </row>
    <row r="15" spans="1:2" x14ac:dyDescent="0.35">
      <c r="A15" s="3" t="s">
        <v>17</v>
      </c>
      <c r="B15" s="4">
        <v>0.65748943064732535</v>
      </c>
    </row>
    <row r="16" spans="1:2" x14ac:dyDescent="0.35">
      <c r="A16" s="3" t="s">
        <v>33</v>
      </c>
      <c r="B16" s="4">
        <v>0.54808360545305557</v>
      </c>
    </row>
    <row r="17" spans="1:2" x14ac:dyDescent="0.35">
      <c r="A17" s="3" t="s">
        <v>45</v>
      </c>
      <c r="B17" s="4">
        <v>0.40277777777777779</v>
      </c>
    </row>
    <row r="18" spans="1:2" x14ac:dyDescent="0.35">
      <c r="A18" s="3" t="s">
        <v>42</v>
      </c>
      <c r="B18" s="4">
        <v>0.40540540540540543</v>
      </c>
    </row>
    <row r="19" spans="1:2" x14ac:dyDescent="0.35">
      <c r="A19" s="3" t="s">
        <v>43</v>
      </c>
      <c r="B19" s="4">
        <v>0.41333333333333333</v>
      </c>
    </row>
    <row r="20" spans="1:2" x14ac:dyDescent="0.35">
      <c r="A20" s="3" t="s">
        <v>31</v>
      </c>
      <c r="B20" s="4">
        <v>0.56365437929357187</v>
      </c>
    </row>
    <row r="21" spans="1:2" x14ac:dyDescent="0.35">
      <c r="A21" s="3" t="s">
        <v>25</v>
      </c>
      <c r="B21" s="4">
        <v>0.56658289566798625</v>
      </c>
    </row>
    <row r="22" spans="1:2" x14ac:dyDescent="0.35">
      <c r="A22" s="3" t="s">
        <v>23</v>
      </c>
      <c r="B22" s="4">
        <v>0.58211409880781073</v>
      </c>
    </row>
    <row r="23" spans="1:2" x14ac:dyDescent="0.35">
      <c r="A23" s="3" t="s">
        <v>27</v>
      </c>
      <c r="B23" s="4">
        <v>0.57516312955691062</v>
      </c>
    </row>
    <row r="24" spans="1:2" x14ac:dyDescent="0.35">
      <c r="A24" s="3" t="s">
        <v>37</v>
      </c>
      <c r="B24" s="4">
        <v>0.42105263157894735</v>
      </c>
    </row>
    <row r="25" spans="1:2" x14ac:dyDescent="0.35">
      <c r="A25" s="3" t="s">
        <v>38</v>
      </c>
      <c r="B25" s="4">
        <v>0.4375</v>
      </c>
    </row>
    <row r="26" spans="1:2" x14ac:dyDescent="0.35">
      <c r="A26" s="3" t="s">
        <v>21</v>
      </c>
      <c r="B26" s="4">
        <v>0.61672188103911207</v>
      </c>
    </row>
    <row r="27" spans="1:2" x14ac:dyDescent="0.35">
      <c r="A27" s="3" t="s">
        <v>39</v>
      </c>
      <c r="B27" s="4">
        <v>0.43037974683544306</v>
      </c>
    </row>
    <row r="28" spans="1:2" x14ac:dyDescent="0.35">
      <c r="A28" s="3" t="s">
        <v>49</v>
      </c>
      <c r="B28" s="4">
        <v>0.59300292543970889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D376E-AA09-4CD4-AB36-2499E0AA39BC}">
  <dimension ref="A3:D7"/>
  <sheetViews>
    <sheetView workbookViewId="0">
      <selection activeCell="B13" sqref="B13"/>
    </sheetView>
  </sheetViews>
  <sheetFormatPr defaultRowHeight="14.5" x14ac:dyDescent="0.35"/>
  <cols>
    <col min="1" max="1" width="20" bestFit="1" customWidth="1"/>
    <col min="2" max="2" width="14.6328125" bestFit="1" customWidth="1"/>
    <col min="3" max="3" width="28.6328125" bestFit="1" customWidth="1"/>
    <col min="4" max="4" width="16.7265625" bestFit="1" customWidth="1"/>
  </cols>
  <sheetData>
    <row r="3" spans="1:4" x14ac:dyDescent="0.35">
      <c r="A3" t="s">
        <v>50</v>
      </c>
      <c r="B3" t="s">
        <v>54</v>
      </c>
      <c r="C3" t="s">
        <v>52</v>
      </c>
      <c r="D3" t="s">
        <v>53</v>
      </c>
    </row>
    <row r="4" spans="1:4" x14ac:dyDescent="0.35">
      <c r="A4">
        <v>7943000</v>
      </c>
      <c r="B4">
        <v>195</v>
      </c>
      <c r="C4" s="4">
        <v>0.59300292543970901</v>
      </c>
      <c r="D4">
        <v>12655500</v>
      </c>
    </row>
    <row r="7" spans="1:4" x14ac:dyDescent="0.35">
      <c r="A7">
        <f>GETPIVOTDATA("Sum of FHTC_Provided",$A$3)</f>
        <v>7943000</v>
      </c>
      <c r="B7">
        <f>GETPIVOTDATA("Count of District",$A$3)</f>
        <v>195</v>
      </c>
      <c r="C7" s="1">
        <f>GETPIVOTDATA("Average of Percentage_Coverage",$A$3)</f>
        <v>0.59300292543970901</v>
      </c>
      <c r="D7">
        <f>GETPIVOTDATA("Sum of FHTC_Total",$A$3)</f>
        <v>12655500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A5405-10E1-49AD-8D5A-25F478DAC596}">
  <dimension ref="A1"/>
  <sheetViews>
    <sheetView showGridLines="0" tabSelected="1" zoomScaleNormal="100" workbookViewId="0">
      <selection activeCell="L28" sqref="L28"/>
    </sheetView>
  </sheetViews>
  <sheetFormatPr defaultRowHeight="14.5" x14ac:dyDescent="0.35"/>
  <cols>
    <col min="1" max="16384" width="8.726562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vt:lpstr>
      <vt:lpstr>Source Distribution</vt:lpstr>
      <vt:lpstr>District-wise Comparison</vt:lpstr>
      <vt:lpstr>Trend Over Time</vt:lpstr>
      <vt:lpstr>Performance Analysis</vt:lpstr>
      <vt:lpstr>KPI CARD</vt:lpstr>
      <vt:lpstr>DaskBoard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2015-06-05T18:17:20Z</dcterms:created>
  <dcterms:modified xsi:type="dcterms:W3CDTF">2026-06-03T12:11:35Z</dcterms:modified>
</cp:coreProperties>
</file>